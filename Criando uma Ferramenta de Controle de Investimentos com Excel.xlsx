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3ab48f099aabbc/Cursos/DIO/Santander Excel com IA e Claude/"/>
    </mc:Choice>
  </mc:AlternateContent>
  <xr:revisionPtr revIDLastSave="365" documentId="8_{E9D41460-57F5-4E84-BF31-FA800DE8E6BB}" xr6:coauthVersionLast="47" xr6:coauthVersionMax="47" xr10:uidLastSave="{BFA98F45-20CD-427E-8FCE-028308D72204}"/>
  <bookViews>
    <workbookView xWindow="-108" yWindow="-108" windowWidth="23256" windowHeight="12456" xr2:uid="{1249B7DE-BDFE-4DA9-B70C-599EFDF39DC6}"/>
  </bookViews>
  <sheets>
    <sheet name="Planilha_Invest" sheetId="1" r:id="rId1"/>
    <sheet name="Banco Dados" sheetId="2" r:id="rId2"/>
  </sheets>
  <definedNames>
    <definedName name="Div_mensal">Planilha_Invest!$C$24</definedName>
    <definedName name="Investimento_mês">Planilha_Invest!$C$20</definedName>
    <definedName name="Patrimonio">Planilha_Invest!$C$23</definedName>
    <definedName name="qntd_anos">Planilha_Invest!$C$21</definedName>
    <definedName name="Rendimento_Carteira">Planilha_Invest!$C$15</definedName>
    <definedName name="Salário">Planilha_Invest!$C$14</definedName>
    <definedName name="tx_mensal">Planilha_Invest!$C$22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1" l="1"/>
  <c r="D40" i="1" s="1"/>
  <c r="D46" i="1" s="1"/>
  <c r="C41" i="1"/>
  <c r="D41" i="1" s="1"/>
  <c r="C42" i="1"/>
  <c r="D42" i="1" s="1"/>
  <c r="C43" i="1"/>
  <c r="D43" i="1" s="1"/>
  <c r="C44" i="1"/>
  <c r="D44" i="1" s="1"/>
  <c r="C45" i="1"/>
  <c r="D45" i="1" s="1"/>
  <c r="H4" i="2"/>
  <c r="B15" i="2"/>
  <c r="B16" i="2"/>
  <c r="B17" i="2"/>
  <c r="B18" i="2"/>
  <c r="B19" i="2"/>
  <c r="B20" i="2"/>
  <c r="B9" i="2"/>
  <c r="B10" i="2"/>
  <c r="B11" i="2"/>
  <c r="B12" i="2"/>
  <c r="B13" i="2"/>
  <c r="B14" i="2"/>
  <c r="B4" i="2"/>
  <c r="B5" i="2"/>
  <c r="B6" i="2"/>
  <c r="B7" i="2"/>
  <c r="B8" i="2"/>
  <c r="B3" i="2"/>
  <c r="C34" i="1"/>
  <c r="D34" i="1" s="1"/>
  <c r="C31" i="1"/>
  <c r="C32" i="1"/>
  <c r="C33" i="1"/>
  <c r="D33" i="1" s="1"/>
  <c r="C30" i="1"/>
  <c r="D30" i="1" s="1"/>
  <c r="C23" i="1"/>
  <c r="C24" i="1" s="1"/>
  <c r="C16" i="1"/>
  <c r="D31" i="1"/>
  <c r="D32" i="1" l="1"/>
</calcChain>
</file>

<file path=xl/sharedStrings.xml><?xml version="1.0" encoding="utf-8"?>
<sst xmlns="http://schemas.openxmlformats.org/spreadsheetml/2006/main" count="71" uniqueCount="37">
  <si>
    <t>Quanto investir por mês?</t>
  </si>
  <si>
    <t>Por Quantos Anos?</t>
  </si>
  <si>
    <t>Taxa de Rendimento Mensal?</t>
  </si>
  <si>
    <t>Patrimônio Acumulado?</t>
  </si>
  <si>
    <t>Dividendos Mensais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</si>
  <si>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</si>
  <si>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</si>
  <si>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</si>
  <si>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</si>
  <si>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</si>
  <si>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</si>
  <si>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de Carteira</t>
  </si>
  <si>
    <t>Sugestões de Investimento</t>
  </si>
  <si>
    <t>Dividendo</t>
  </si>
  <si>
    <t>Configurações</t>
  </si>
  <si>
    <t>INVESTIMENTO MENSAL</t>
  </si>
  <si>
    <t/>
  </si>
  <si>
    <t>Cenários</t>
  </si>
  <si>
    <t>Perfil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</si>
  <si>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</si>
  <si>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</si>
  <si>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</si>
  <si>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</si>
  <si>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</si>
  <si>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</si>
  <si>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</si>
  <si>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</si>
  <si>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</si>
  <si>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</si>
  <si>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</si>
  <si>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</si>
  <si>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Agressivo</t>
  </si>
  <si>
    <t>Tipo de FII</t>
  </si>
  <si>
    <t>Chave</t>
  </si>
  <si>
    <t>Moderado</t>
  </si>
  <si>
    <t>%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</si>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</sst>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54">
    <xf numFmtId="0" fontId="0" fillId="0" borderId="0" xfId="0"/>
    <xf numFmtId="0" fontId="2" fillId="0" borderId="0" xfId="0" applyFont="1"/>
    <xf numFmtId="8" fontId="2" fillId="0" borderId="0" xfId="0" applyNumberFormat="1" applyFont="1" applyAlignment="1">
      <alignment horizontal="center"/>
    </xf>
    <xf numFmtId="0" fontId="3" fillId="0" borderId="0" xfId="0" applyFont="1"/>
    <xf numFmtId="8" fontId="0" fillId="3" borderId="1" xfId="0" applyNumberFormat="1" applyFill="1" applyBorder="1"/>
    <xf numFmtId="0" fontId="0" fillId="3" borderId="4" xfId="0" applyFill="1" applyBorder="1"/>
    <xf numFmtId="44" fontId="0" fillId="3" borderId="5" xfId="1" applyFont="1" applyFill="1" applyBorder="1"/>
    <xf numFmtId="10" fontId="0" fillId="3" borderId="5" xfId="0" applyNumberFormat="1" applyFill="1" applyBorder="1"/>
    <xf numFmtId="0" fontId="0" fillId="3" borderId="6" xfId="0" applyFill="1" applyBorder="1"/>
    <xf numFmtId="44" fontId="0" fillId="3" borderId="7" xfId="0" applyNumberFormat="1" applyFill="1" applyBorder="1"/>
    <xf numFmtId="0" fontId="0" fillId="0" borderId="0" xfId="0" quotePrefix="1"/>
    <xf numFmtId="0" fontId="0" fillId="3" borderId="0" xfId="0" applyFill="1"/>
    <xf numFmtId="44" fontId="0" fillId="3" borderId="0" xfId="0" applyNumberFormat="1" applyFill="1"/>
    <xf numFmtId="0" fontId="2" fillId="3" borderId="4" xfId="0" applyFont="1" applyFill="1" applyBorder="1"/>
    <xf numFmtId="8" fontId="0" fillId="3" borderId="5" xfId="0" applyNumberFormat="1" applyFill="1" applyBorder="1"/>
    <xf numFmtId="0" fontId="2" fillId="3" borderId="6" xfId="0" applyFont="1" applyFill="1" applyBorder="1"/>
    <xf numFmtId="8" fontId="0" fillId="3" borderId="8" xfId="0" applyNumberFormat="1" applyFill="1" applyBorder="1"/>
    <xf numFmtId="8" fontId="0" fillId="3" borderId="7" xfId="0" applyNumberFormat="1" applyFill="1" applyBorder="1"/>
    <xf numFmtId="8" fontId="0" fillId="3" borderId="10" xfId="0" applyNumberFormat="1" applyFill="1" applyBorder="1"/>
    <xf numFmtId="0" fontId="0" fillId="0" borderId="12" xfId="0" applyBorder="1"/>
    <xf numFmtId="0" fontId="2" fillId="3" borderId="5" xfId="0" applyFont="1" applyFill="1" applyBorder="1" applyAlignment="1">
      <alignment horizontal="center"/>
    </xf>
    <xf numFmtId="10" fontId="2" fillId="3" borderId="5" xfId="2" applyNumberFormat="1" applyFont="1" applyFill="1" applyBorder="1" applyAlignment="1">
      <alignment horizontal="center"/>
    </xf>
    <xf numFmtId="8" fontId="2" fillId="3" borderId="5" xfId="0" applyNumberFormat="1" applyFont="1" applyFill="1" applyBorder="1" applyAlignment="1">
      <alignment horizontal="center"/>
    </xf>
    <xf numFmtId="8" fontId="2" fillId="3" borderId="7" xfId="0" applyNumberFormat="1" applyFont="1" applyFill="1" applyBorder="1" applyAlignment="1">
      <alignment horizontal="center"/>
    </xf>
    <xf numFmtId="0" fontId="4" fillId="4" borderId="0" xfId="4"/>
    <xf numFmtId="164" fontId="2" fillId="3" borderId="5" xfId="1" applyNumberFormat="1" applyFont="1" applyFill="1" applyBorder="1" applyAlignment="1">
      <alignment horizontal="center" vertical="center"/>
    </xf>
    <xf numFmtId="0" fontId="7" fillId="4" borderId="0" xfId="4" applyFont="1"/>
    <xf numFmtId="0" fontId="2" fillId="3" borderId="0" xfId="0" applyFont="1" applyFill="1"/>
    <xf numFmtId="164" fontId="2" fillId="3" borderId="0" xfId="3" applyNumberFormat="1" applyFont="1" applyFill="1" applyAlignment="1">
      <alignment horizontal="center" vertical="center"/>
    </xf>
    <xf numFmtId="0" fontId="3" fillId="2" borderId="3" xfId="0" applyFont="1" applyFill="1" applyBorder="1"/>
    <xf numFmtId="0" fontId="5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6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0" fontId="7" fillId="4" borderId="0" xfId="4" applyFont="1" applyAlignment="1">
      <alignment horizontal="center"/>
    </xf>
    <xf numFmtId="0" fontId="0" fillId="0" borderId="13" xfId="0" applyBorder="1" applyAlignment="1">
      <alignment horizontal="center"/>
    </xf>
    <xf numFmtId="0" fontId="7" fillId="4" borderId="13" xfId="4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64" fontId="0" fillId="0" borderId="0" xfId="0" applyNumberFormat="1"/>
  </cellXfs>
  <cellStyles count="5">
    <cellStyle name="Moeda" xfId="1" builtinId="4"/>
    <cellStyle name="Neutro" xfId="4" builtinId="28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colors>
    <mruColors>
      <color rgb="FF020B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9</xdr:row>
      <xdr:rowOff>160020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F7519A1-E5C7-F775-794E-DB744EF959D4}"/>
            </a:ext>
          </a:extLst>
        </xdr:cNvPr>
        <xdr:cNvSpPr/>
      </xdr:nvSpPr>
      <xdr:spPr>
        <a:xfrm>
          <a:off x="0" y="0"/>
          <a:ext cx="6307667" cy="1836420"/>
        </a:xfrm>
        <a:prstGeom prst="rect">
          <a:avLst/>
        </a:prstGeom>
        <a:solidFill>
          <a:srgbClr val="020B1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1606760</xdr:colOff>
      <xdr:row>0</xdr:row>
      <xdr:rowOff>62713</xdr:rowOff>
    </xdr:from>
    <xdr:to>
      <xdr:col>2</xdr:col>
      <xdr:colOff>1950595</xdr:colOff>
      <xdr:row>9</xdr:row>
      <xdr:rowOff>122858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6DF79CE-B497-FEF4-9F90-8B2CEDF3F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3827" y="62713"/>
          <a:ext cx="2460501" cy="17365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39EFCD-5D74-46D8-8A13-6C26C6920256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52c6bd1b-31a4-4ccd-947b-03912c712e4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0B32-6F55-4064-8AAC-8D0DF0A7B905}">
  <dimension ref="A11:M52"/>
  <sheetViews>
    <sheetView showGridLines="0" showRowColHeaders="0" tabSelected="1" topLeftCell="A15" zoomScale="90" zoomScaleNormal="90" workbookViewId="0">
      <selection activeCell="C21" sqref="C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3.44140625" customWidth="1"/>
    <col min="2" max="2" width="30.88671875" bestFit="1" customWidth="1"/>
    <col min="3" max="3" width="34.88671875" customWidth="1"/>
    <col min="4" max="4" width="14" customWidth="1"/>
    <col min="5" max="5" width="3" bestFit="1" customWidth="1"/>
    <col min="6" max="7" width="3.44140625" customWidth="1"/>
    <col min="8" max="12" width="4.33203125" hidden="1" customWidth="1"/>
    <col min="13" max="13" width="7.6640625" hidden="1" customWidth="1"/>
    <col min="14" max="16384" width="3.44140625" hidden="1"/>
  </cols>
  <sheetData>
    <row r="11" spans="2:3" ht="15" thickBot="1" x14ac:dyDescent="0.35"/>
    <row r="12" spans="2:3" ht="15" thickTop="1" x14ac:dyDescent="0.3">
      <c r="B12" s="30" t="s">
        <v>14</v>
      </c>
      <c r="C12" s="31"/>
    </row>
    <row r="13" spans="2:3" x14ac:dyDescent="0.3">
      <c r="B13" s="32"/>
      <c r="C13" s="33"/>
    </row>
    <row r="14" spans="2:3" x14ac:dyDescent="0.3">
      <c r="B14" s="5" t="s">
        <v>10</v>
      </c>
      <c r="C14" s="6">
        <v>5000</v>
      </c>
    </row>
    <row r="15" spans="2:3" x14ac:dyDescent="0.3">
      <c r="B15" s="5" t="s">
        <v>11</v>
      </c>
      <c r="C15" s="7">
        <v>8.9999999999999993E-3</v>
      </c>
    </row>
    <row r="16" spans="2:3" ht="15" thickBot="1" x14ac:dyDescent="0.35">
      <c r="B16" s="8" t="s">
        <v>12</v>
      </c>
      <c r="C16" s="9">
        <f>C14*30%</f>
        <v>1500</v>
      </c>
    </row>
    <row r="17" spans="2:6" ht="15.6" thickTop="1" thickBot="1" x14ac:dyDescent="0.35">
      <c r="B17" s="11"/>
      <c r="C17" s="12"/>
    </row>
    <row r="18" spans="2:6" ht="15" thickTop="1" x14ac:dyDescent="0.3">
      <c r="B18" s="34" t="s">
        <v>15</v>
      </c>
      <c r="C18" s="35"/>
    </row>
    <row r="19" spans="2:6" x14ac:dyDescent="0.3">
      <c r="B19" s="36"/>
      <c r="C19" s="37"/>
    </row>
    <row r="20" spans="2:6" x14ac:dyDescent="0.3">
      <c r="B20" s="5" t="s">
        <v>0</v>
      </c>
      <c r="C20" s="25">
        <v>1260</v>
      </c>
    </row>
    <row r="21" spans="2:6" x14ac:dyDescent="0.3">
      <c r="B21" s="5" t="s">
        <v>1</v>
      </c>
      <c r="C21" s="20">
        <v>5</v>
      </c>
    </row>
    <row r="22" spans="2:6" x14ac:dyDescent="0.3">
      <c r="B22" s="5" t="s">
        <v>2</v>
      </c>
      <c r="C22" s="21">
        <v>1.0800000000000001E-2</v>
      </c>
      <c r="D22" s="2"/>
    </row>
    <row r="23" spans="2:6" x14ac:dyDescent="0.3">
      <c r="B23" s="13" t="s">
        <v>3</v>
      </c>
      <c r="C23" s="22">
        <f>FV(tx_mensal,qntd_anos*12,Investimento_mês*-1)</f>
        <v>105593.06439266562</v>
      </c>
      <c r="F23" s="10" t="s">
        <v>16</v>
      </c>
    </row>
    <row r="24" spans="2:6" ht="15" thickBot="1" x14ac:dyDescent="0.35">
      <c r="B24" s="15" t="s">
        <v>4</v>
      </c>
      <c r="C24" s="23">
        <f>C23*$C$15</f>
        <v>950.33757953399049</v>
      </c>
    </row>
    <row r="25" spans="2:6" ht="15" thickTop="1" x14ac:dyDescent="0.3">
      <c r="B25" s="3">
        <v>2</v>
      </c>
      <c r="C25" s="1"/>
      <c r="D25" s="2"/>
    </row>
    <row r="26" spans="2:6" x14ac:dyDescent="0.3">
      <c r="B26" s="3">
        <v>5</v>
      </c>
    </row>
    <row r="27" spans="2:6" ht="15" thickBot="1" x14ac:dyDescent="0.35"/>
    <row r="28" spans="2:6" ht="15.6" thickTop="1" thickBot="1" x14ac:dyDescent="0.35">
      <c r="B28" s="38" t="s">
        <v>17</v>
      </c>
      <c r="C28" s="39"/>
      <c r="D28" s="19"/>
    </row>
    <row r="29" spans="2:6" ht="15" thickTop="1" x14ac:dyDescent="0.3">
      <c r="B29" s="40"/>
      <c r="C29" s="41"/>
      <c r="D29" s="29" t="s">
        <v>13</v>
      </c>
    </row>
    <row r="30" spans="2:6" x14ac:dyDescent="0.3">
      <c r="B30" s="13" t="s">
        <v>5</v>
      </c>
      <c r="C30" s="4">
        <f>FV(tx_mensal,E30*12,Investimento_mês)*-1</f>
        <v>34310.888212332808</v>
      </c>
      <c r="D30" s="18">
        <f>C30*Rendimento_Carteira</f>
        <v>308.79799391099522</v>
      </c>
      <c r="E30" s="3">
        <v>2</v>
      </c>
    </row>
    <row r="31" spans="2:6" x14ac:dyDescent="0.3">
      <c r="B31" s="13" t="s">
        <v>6</v>
      </c>
      <c r="C31" s="4">
        <f>FV(tx_mensal,E31*12,Investimento_mês)*-1</f>
        <v>105593.06439266562</v>
      </c>
      <c r="D31" s="14">
        <f>C31*$C$15</f>
        <v>950.33757953399049</v>
      </c>
      <c r="E31" s="3">
        <v>5</v>
      </c>
    </row>
    <row r="32" spans="2:6" x14ac:dyDescent="0.3">
      <c r="B32" s="13" t="s">
        <v>7</v>
      </c>
      <c r="C32" s="4">
        <f>FV(tx_mensal,E32*12,Investimento_mês)*-1</f>
        <v>306756.65948104812</v>
      </c>
      <c r="D32" s="14">
        <f>C32*$C$15</f>
        <v>2760.8099353294328</v>
      </c>
      <c r="E32" s="3">
        <v>10</v>
      </c>
    </row>
    <row r="33" spans="2:5" x14ac:dyDescent="0.3">
      <c r="B33" s="13" t="s">
        <v>8</v>
      </c>
      <c r="C33" s="4">
        <f>FV(tx_mensal,E33*12,Investimento_mês)*-1</f>
        <v>1420081.7315561394</v>
      </c>
      <c r="D33" s="14">
        <f>C33*$C$15</f>
        <v>12780.735584005253</v>
      </c>
      <c r="E33" s="3">
        <v>20</v>
      </c>
    </row>
    <row r="34" spans="2:5" ht="15" thickBot="1" x14ac:dyDescent="0.35">
      <c r="B34" s="15" t="s">
        <v>9</v>
      </c>
      <c r="C34" s="16">
        <f>FV(tx_mensal,E34*12,Investimento_mês)*-1</f>
        <v>5460720.0609991066</v>
      </c>
      <c r="D34" s="17">
        <f>C34*$C$15</f>
        <v>49146.480548991953</v>
      </c>
      <c r="E34" s="3">
        <v>30</v>
      </c>
    </row>
    <row r="35" spans="2:5" ht="15" thickTop="1" x14ac:dyDescent="0.3">
      <c r="E35" s="3"/>
    </row>
    <row r="36" spans="2:5" x14ac:dyDescent="0.3">
      <c r="B36" s="26" t="s">
        <v>21</v>
      </c>
      <c r="C36" s="26" t="s">
        <v>31</v>
      </c>
      <c r="D36" s="24"/>
    </row>
    <row r="37" spans="2:5" x14ac:dyDescent="0.3">
      <c r="B37" s="27" t="s">
        <v>20</v>
      </c>
      <c r="C37" s="28">
        <v>200000</v>
      </c>
      <c r="D37" s="11"/>
    </row>
    <row r="39" spans="2:5" x14ac:dyDescent="0.3">
      <c r="B39" s="43" t="s">
        <v>22</v>
      </c>
      <c r="C39" s="43" t="s">
        <v>23</v>
      </c>
      <c r="D39" s="43" t="s">
        <v>24</v>
      </c>
    </row>
    <row r="40" spans="2:5" x14ac:dyDescent="0.3">
      <c r="B40" s="44" t="s">
        <v>25</v>
      </c>
      <c r="C40" s="45">
        <f>VLOOKUP($C$36&amp;"-"&amp;B40,'Banco Dados'!$B$1:$E$24,4,FALSE)</f>
        <v>0.5</v>
      </c>
      <c r="D40" s="46">
        <f>$C$37*C40</f>
        <v>100000</v>
      </c>
    </row>
    <row r="41" spans="2:5" x14ac:dyDescent="0.3">
      <c r="B41" s="44" t="s">
        <v>26</v>
      </c>
      <c r="C41" s="45">
        <f>VLOOKUP($C$36&amp;"-"&amp;B41,'Banco Dados'!$B$1:$E$24,4,FALSE)</f>
        <v>0.1</v>
      </c>
      <c r="D41" s="46">
        <f t="shared" ref="D41:D45" si="0">$C$37*C41</f>
        <v>20000</v>
      </c>
    </row>
    <row r="42" spans="2:5" x14ac:dyDescent="0.3">
      <c r="B42" s="44" t="s">
        <v>27</v>
      </c>
      <c r="C42" s="45">
        <f>VLOOKUP($C$36&amp;"-"&amp;B42,'Banco Dados'!$B$1:$E$24,4,FALSE)</f>
        <v>0.05</v>
      </c>
      <c r="D42" s="46">
        <f t="shared" si="0"/>
        <v>10000</v>
      </c>
    </row>
    <row r="43" spans="2:5" x14ac:dyDescent="0.3">
      <c r="B43" s="44" t="s">
        <v>28</v>
      </c>
      <c r="C43" s="45">
        <f>VLOOKUP($C$36&amp;"-"&amp;B43,'Banco Dados'!$B$1:$E$24,4,FALSE)</f>
        <v>0.05</v>
      </c>
      <c r="D43" s="46">
        <f t="shared" si="0"/>
        <v>10000</v>
      </c>
    </row>
    <row r="44" spans="2:5" x14ac:dyDescent="0.3">
      <c r="B44" s="44" t="s">
        <v>29</v>
      </c>
      <c r="C44" s="45">
        <f>VLOOKUP($C$36&amp;"-"&amp;B44,'Banco Dados'!$B$1:$E$24,4,FALSE)</f>
        <v>0.2</v>
      </c>
      <c r="D44" s="46">
        <f t="shared" si="0"/>
        <v>40000</v>
      </c>
    </row>
    <row r="45" spans="2:5" x14ac:dyDescent="0.3">
      <c r="B45" s="44" t="s">
        <v>30</v>
      </c>
      <c r="C45" s="45">
        <f>VLOOKUP($C$36&amp;"-"&amp;B45,'Banco Dados'!$B$1:$E$24,4,FALSE)</f>
        <v>0.1</v>
      </c>
      <c r="D45" s="46">
        <f t="shared" si="0"/>
        <v>20000</v>
      </c>
    </row>
    <row r="46" spans="2:5" x14ac:dyDescent="0.3">
      <c r="D46" s="53">
        <f>SUM(D40:D45)</f>
        <v>200000</v>
      </c>
    </row>
    <row r="49" customFormat="1" x14ac:dyDescent="0.3"/>
    <row r="50" customFormat="1" x14ac:dyDescent="0.3"/>
    <row r="51" customFormat="1" x14ac:dyDescent="0.3"/>
    <row r="52" customFormat="1" x14ac:dyDescent="0.3"/>
  </sheetData>
  <mergeCells count="3">
    <mergeCell ref="B12:C13"/>
    <mergeCell ref="B18:C19"/>
    <mergeCell ref="B28:C29"/>
  </mergeCells>
  <dataValidations count="1">
    <dataValidation type="list" allowBlank="1" showInputMessage="1" showErrorMessage="1" sqref="C36" xr:uid="{81E07860-F2BD-4D5E-8033-BB42117538D4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B239-FFD3-40EE-9429-590BAAF7FD7A}">
  <dimension ref="B2:H20"/>
  <sheetViews>
    <sheetView showGridLines="0" showRowColHeaders="0" topLeftCell="B1" zoomScale="115" zoomScaleNormal="115" workbookViewId="0">
      <selection activeCell="E13" sqref="E13"/>
    </sheetView>
  </sheetViews>
  <sheetFormatPr defaultRowHeight="14.4" x14ac:dyDescent="0.3"/>
  <cols>
    <col min="2" max="2" width="26.21875" bestFit="1" customWidth="1"/>
    <col min="3" max="3" width="11.44140625" bestFit="1" customWidth="1"/>
    <col min="4" max="4" width="14.77734375" bestFit="1" customWidth="1"/>
    <col min="7" max="7" width="14.21875" bestFit="1" customWidth="1"/>
    <col min="8" max="8" width="8.21875" bestFit="1" customWidth="1"/>
  </cols>
  <sheetData>
    <row r="2" spans="2:8" x14ac:dyDescent="0.3">
      <c r="B2" s="47" t="s">
        <v>33</v>
      </c>
      <c r="C2" s="47" t="s">
        <v>18</v>
      </c>
      <c r="D2" s="47" t="s">
        <v>32</v>
      </c>
      <c r="E2" s="48" t="s">
        <v>35</v>
      </c>
    </row>
    <row r="3" spans="2:8" x14ac:dyDescent="0.3">
      <c r="B3" s="42" t="str">
        <f>C3&amp;"-"&amp;D3</f>
        <v>Conservador-Papel</v>
      </c>
      <c r="C3" s="49" t="s">
        <v>19</v>
      </c>
      <c r="D3" s="42" t="s">
        <v>25</v>
      </c>
      <c r="E3" s="52">
        <v>0.3</v>
      </c>
    </row>
    <row r="4" spans="2:8" x14ac:dyDescent="0.3">
      <c r="B4" s="42" t="str">
        <f t="shared" ref="B4:B20" si="0">C4&amp;"-"&amp;D4</f>
        <v>Conservador-Tijolo</v>
      </c>
      <c r="C4" s="49" t="s">
        <v>19</v>
      </c>
      <c r="D4" s="42" t="s">
        <v>26</v>
      </c>
      <c r="E4" s="52">
        <v>0.5</v>
      </c>
      <c r="G4" s="42" t="s">
        <v>36</v>
      </c>
      <c r="H4">
        <f>VLOOKUP(G4,B2:E25,4,FALSE)*100</f>
        <v>35</v>
      </c>
    </row>
    <row r="5" spans="2:8" x14ac:dyDescent="0.3">
      <c r="B5" s="42" t="str">
        <f t="shared" si="0"/>
        <v>Conservador-Híbridos</v>
      </c>
      <c r="C5" s="49" t="s">
        <v>19</v>
      </c>
      <c r="D5" s="42" t="s">
        <v>27</v>
      </c>
      <c r="E5" s="52">
        <v>0.1</v>
      </c>
    </row>
    <row r="6" spans="2:8" x14ac:dyDescent="0.3">
      <c r="B6" s="42" t="str">
        <f t="shared" si="0"/>
        <v>Conservador-FOFs</v>
      </c>
      <c r="C6" s="49" t="s">
        <v>19</v>
      </c>
      <c r="D6" s="42" t="s">
        <v>28</v>
      </c>
      <c r="E6" s="52">
        <v>0.1</v>
      </c>
    </row>
    <row r="7" spans="2:8" x14ac:dyDescent="0.3">
      <c r="B7" s="42" t="str">
        <f t="shared" si="0"/>
        <v>Conservador-Desenvolvimento</v>
      </c>
      <c r="C7" s="49" t="s">
        <v>19</v>
      </c>
      <c r="D7" s="42" t="s">
        <v>29</v>
      </c>
      <c r="E7" s="52">
        <v>0</v>
      </c>
    </row>
    <row r="8" spans="2:8" ht="15" thickBot="1" x14ac:dyDescent="0.35">
      <c r="B8" s="50" t="str">
        <f t="shared" si="0"/>
        <v>Conservador-Hotelarias</v>
      </c>
      <c r="C8" s="51" t="s">
        <v>19</v>
      </c>
      <c r="D8" s="50" t="s">
        <v>30</v>
      </c>
      <c r="E8" s="52">
        <v>0</v>
      </c>
    </row>
    <row r="9" spans="2:8" x14ac:dyDescent="0.3">
      <c r="B9" s="42" t="str">
        <f t="shared" si="0"/>
        <v>Moderado-Papel</v>
      </c>
      <c r="C9" s="49" t="s">
        <v>34</v>
      </c>
      <c r="D9" s="42" t="s">
        <v>25</v>
      </c>
      <c r="E9" s="52">
        <v>0.32</v>
      </c>
    </row>
    <row r="10" spans="2:8" x14ac:dyDescent="0.3">
      <c r="B10" s="42" t="str">
        <f t="shared" si="0"/>
        <v>Moderado-Tijolo</v>
      </c>
      <c r="C10" s="49" t="s">
        <v>34</v>
      </c>
      <c r="D10" s="42" t="s">
        <v>26</v>
      </c>
      <c r="E10" s="52">
        <v>0.35</v>
      </c>
    </row>
    <row r="11" spans="2:8" x14ac:dyDescent="0.3">
      <c r="B11" s="42" t="str">
        <f t="shared" si="0"/>
        <v>Moderado-Híbridos</v>
      </c>
      <c r="C11" s="49" t="s">
        <v>34</v>
      </c>
      <c r="D11" s="42" t="s">
        <v>27</v>
      </c>
      <c r="E11" s="52">
        <v>0.08</v>
      </c>
    </row>
    <row r="12" spans="2:8" x14ac:dyDescent="0.3">
      <c r="B12" s="42" t="str">
        <f t="shared" si="0"/>
        <v>Moderado-FOFs</v>
      </c>
      <c r="C12" s="49" t="s">
        <v>34</v>
      </c>
      <c r="D12" s="42" t="s">
        <v>28</v>
      </c>
      <c r="E12" s="52">
        <v>0.05</v>
      </c>
    </row>
    <row r="13" spans="2:8" x14ac:dyDescent="0.3">
      <c r="B13" s="42" t="str">
        <f t="shared" si="0"/>
        <v>Moderado-Desenvolvimento</v>
      </c>
      <c r="C13" s="49" t="s">
        <v>34</v>
      </c>
      <c r="D13" s="42" t="s">
        <v>29</v>
      </c>
      <c r="E13" s="52">
        <v>0.1</v>
      </c>
    </row>
    <row r="14" spans="2:8" ht="15" thickBot="1" x14ac:dyDescent="0.35">
      <c r="B14" s="50" t="str">
        <f t="shared" si="0"/>
        <v>Moderado-Hotelarias</v>
      </c>
      <c r="C14" s="51" t="s">
        <v>34</v>
      </c>
      <c r="D14" s="50" t="s">
        <v>30</v>
      </c>
      <c r="E14" s="52">
        <v>0.1</v>
      </c>
    </row>
    <row r="15" spans="2:8" x14ac:dyDescent="0.3">
      <c r="B15" s="42" t="str">
        <f t="shared" si="0"/>
        <v>Agressivo-Papel</v>
      </c>
      <c r="C15" s="49" t="s">
        <v>31</v>
      </c>
      <c r="D15" s="42" t="s">
        <v>25</v>
      </c>
      <c r="E15" s="52">
        <v>0.5</v>
      </c>
    </row>
    <row r="16" spans="2:8" x14ac:dyDescent="0.3">
      <c r="B16" s="42" t="str">
        <f t="shared" si="0"/>
        <v>Agressivo-Tijolo</v>
      </c>
      <c r="C16" s="49" t="s">
        <v>31</v>
      </c>
      <c r="D16" s="42" t="s">
        <v>26</v>
      </c>
      <c r="E16" s="52">
        <v>0.1</v>
      </c>
    </row>
    <row r="17" spans="2:5" x14ac:dyDescent="0.3">
      <c r="B17" s="42" t="str">
        <f t="shared" si="0"/>
        <v>Agressivo-Híbridos</v>
      </c>
      <c r="C17" s="49" t="s">
        <v>31</v>
      </c>
      <c r="D17" s="42" t="s">
        <v>27</v>
      </c>
      <c r="E17" s="52">
        <v>0.05</v>
      </c>
    </row>
    <row r="18" spans="2:5" x14ac:dyDescent="0.3">
      <c r="B18" s="42" t="str">
        <f t="shared" si="0"/>
        <v>Agressivo-FOFs</v>
      </c>
      <c r="C18" s="49" t="s">
        <v>31</v>
      </c>
      <c r="D18" s="42" t="s">
        <v>28</v>
      </c>
      <c r="E18" s="52">
        <v>0.05</v>
      </c>
    </row>
    <row r="19" spans="2:5" x14ac:dyDescent="0.3">
      <c r="B19" s="42" t="str">
        <f t="shared" si="0"/>
        <v>Agressivo-Desenvolvimento</v>
      </c>
      <c r="C19" s="49" t="s">
        <v>31</v>
      </c>
      <c r="D19" s="42" t="s">
        <v>29</v>
      </c>
      <c r="E19" s="52">
        <v>0.2</v>
      </c>
    </row>
    <row r="20" spans="2:5" x14ac:dyDescent="0.3">
      <c r="B20" s="42" t="str">
        <f t="shared" si="0"/>
        <v>Agressivo-Hotelarias</v>
      </c>
      <c r="C20" s="49" t="s">
        <v>31</v>
      </c>
      <c r="D20" s="42" t="s">
        <v>30</v>
      </c>
      <c r="E20" s="52">
        <v>0.1</v>
      </c>
    </row>
  </sheetData>
  <dataValidations count="1">
    <dataValidation type="list" allowBlank="1" showInputMessage="1" showErrorMessage="1" sqref="C3:C8" xr:uid="{3330778B-75F5-48E1-A1F2-839C4AA61019}">
      <formula1>"Agressivo,Conservador,Moderado"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Planilha_Invest</vt:lpstr>
      <vt:lpstr>Banco Dados</vt:lpstr>
      <vt:lpstr>Div_mensal</vt:lpstr>
      <vt:lpstr>Investimento_mês</vt:lpstr>
      <vt:lpstr>Patrimonio</vt:lpstr>
      <vt:lpstr>qntd_anos</vt:lpstr>
      <vt:lpstr>Rendimento_Carteira</vt:lpstr>
      <vt:lpstr>Salário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Souza</dc:creator>
  <cp:lastModifiedBy>Eduardo Souza</cp:lastModifiedBy>
  <dcterms:created xsi:type="dcterms:W3CDTF">2026-08-28T16:49:50Z</dcterms:created>
  <dcterms:modified xsi:type="dcterms:W3CDTF">2026-08-30T21:12:24Z</dcterms:modified>
</cp:coreProperties>
</file>