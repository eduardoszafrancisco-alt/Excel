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AB48F099AABBC/Cursos/DIO/Santander Excel com IA e Claude/"/>
    </mc:Choice>
  </mc:AlternateContent>
  <xr:revisionPtr revIDLastSave="521" documentId="8_{5BA82A10-8B44-4BF5-8F7A-4458CCB85D38}" xr6:coauthVersionLast="47" xr6:coauthVersionMax="47" xr10:uidLastSave="{AA3E91A4-1241-46B4-A2A4-B79B4819C97D}"/>
  <bookViews>
    <workbookView xWindow="-108" yWindow="-108" windowWidth="23256" windowHeight="12456" activeTab="4" xr2:uid="{28DD5B76-0634-4F87-BE60-8BFA7EF2E23B}"/>
  </bookViews>
  <sheets>
    <sheet name="A̳ssets" sheetId="1" r:id="rId1"/>
    <sheet name="B̳ases" sheetId="2" r:id="rId2"/>
    <sheet name="C̳álculos" sheetId="3" r:id="rId3"/>
    <sheet name="Perguntas" sheetId="5" r:id="rId4"/>
    <sheet name="D̳ashboard" sheetId="4" r:id="rId5"/>
  </sheets>
  <definedNames>
    <definedName name="SegmentaçãodeDados_Subscription_Type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0" i="3"/>
</calcChain>
</file>

<file path=xl/sharedStrings.xml><?xml version="1.0" encoding="utf-8"?>
<sst xmlns="http://schemas.openxmlformats.org/spreadsheetml/2006/main" count="2032" uniqueCount="330">
  <si>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</si>
  <si>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</si>
  <si>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</si>
  <si>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</si>
  <si>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</si>
  <si>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</si>
  <si>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</si>
  <si>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</si>
  <si>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</si>
  <si>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</si>
  <si>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</si>
  <si>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</si>
  <si>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</si>
  <si>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</si>
  <si>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</si>
  <si>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</si>
  <si>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</si>
  <si>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</si>
  <si>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</si>
  <si>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</si>
  <si>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</si>
  <si>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</si>
  <si>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</si>
  <si>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</si>
  <si>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</si>
  <si>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</si>
  <si>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</si>
  <si>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</si>
  <si>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</si>
  <si>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</si>
  <si>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</si>
  <si>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</si>
  <si>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</si>
  <si>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</si>
  <si>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</si>
  <si>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</si>
  <si>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</si>
  <si>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</si>
  <si>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</si>
  <si>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</si>
  <si>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</si>
  <si>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</si>
  <si>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</si>
  <si>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</si>
  <si>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</si>
  <si>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</si>
  <si>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</si>
  <si>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</si>
  <si>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</si>
  <si>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</si>
  <si>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</si>
  <si>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</si>
  <si>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</si>
  <si>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</si>
  <si>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</si>
  <si>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</si>
  <si>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</si>
  <si>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</si>
  <si>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</si>
  <si>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</si>
  <si>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</si>
  <si>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</si>
  <si>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</si>
  <si>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</si>
  <si>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</si>
  <si>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</si>
  <si>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</si>
  <si>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</si>
  <si>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</si>
  <si>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</si>
  <si>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</si>
  <si>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</si>
  <si>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</si>
  <si>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</si>
  <si>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</si>
  <si>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</si>
  <si>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</si>
  <si>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</si>
  <si>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</si>
  <si>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</si>
  <si>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</si>
  <si>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</si>
  <si>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</si>
  <si>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</si>
  <si>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</si>
  <si>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</si>
  <si>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</si>
  <si>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</si>
  <si>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</si>
  <si>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</si>
  <si>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</si>
  <si>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</si>
  <si>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</si>
  <si>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</si>
  <si>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</si>
  <si>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</si>
  <si>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</si>
  <si>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</si>
  <si>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</si>
  <si>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</si>
  <si>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</si>
  <si>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</si>
  <si>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</si>
  <si>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</si>
  <si>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</si>
  <si>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</si>
  <si>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</si>
  <si>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</si>
  <si>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</si>
  <si>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</si>
  <si>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</si>
  <si>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</si>
  <si>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</si>
  <si>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</si>
  <si>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</si>
  <si>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</si>
  <si>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</si>
  <si>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</si>
  <si>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</si>
  <si>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</si>
  <si>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</si>
  <si>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</si>
  <si>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</si>
  <si>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</si>
  <si>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</si>
  <si>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</si>
  <si>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</si>
  <si>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</si>
  <si>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</si>
  <si>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</si>
  <si>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</si>
  <si>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</si>
  <si>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</si>
  <si>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</si>
  <si>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</si>
  <si>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</si>
  <si>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</si>
  <si>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</si>
  <si>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</si>
  <si>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</si>
  <si>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</si>
  <si>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</si>
  <si>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</si>
  <si>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</si>
  <si>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</si>
  <si>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</si>
  <si>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</si>
  <si>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</si>
  <si>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</si>
  <si>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</si>
  <si>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</si>
  <si>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</si>
  <si>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</si>
  <si>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</si>
  <si>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</si>
  <si>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</si>
  <si>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</si>
  <si>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</si>
  <si>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</si>
  <si>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</si>
  <si>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</si>
  <si>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</si>
  <si>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</si>
  <si>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</si>
  <si>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</si>
  <si>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</si>
  <si>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</si>
  <si>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</si>
  <si>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</si>
  <si>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</si>
  <si>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</si>
  <si>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</si>
  <si>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</si>
  <si>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</si>
  <si>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</si>
  <si>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</si>
  <si>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</si>
  <si>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</si>
  <si>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</si>
  <si>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</si>
  <si>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</si>
  <si>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</si>
  <si>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</si>
  <si>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</si>
  <si>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</si>
  <si>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</si>
  <si>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</si>
  <si>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</si>
  <si>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</si>
  <si>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</si>
  <si>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</si>
  <si>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</si>
  <si>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</si>
  <si>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</si>
  <si>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</si>
  <si>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</si>
  <si>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</si>
  <si>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</si>
  <si>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</si>
  <si>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</si>
  <si>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</si>
  <si>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</si>
  <si>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</si>
  <si>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</si>
  <si>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</si>
  <si>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</si>
  <si>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</si>
  <si>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</si>
  <si>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</si>
  <si>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</si>
  <si>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</si>
  <si>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</si>
  <si>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</si>
  <si>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</si>
  <si>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</si>
  <si>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</si>
  <si>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</si>
  <si>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</si>
  <si>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</si>
  <si>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</si>
  <si>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</si>
  <si>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</si>
  <si>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</si>
  <si>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</si>
  <si>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</si>
  <si>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</si>
  <si>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</si>
  <si>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</si>
  <si>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</si>
  <si>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</si>
  <si>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</si>
  <si>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</si>
  <si>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</si>
  <si>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</si>
  <si>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</si>
  <si>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</si>
  <si>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</si>
  <si>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</si>
  <si>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</si>
  <si>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</si>
  <si>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</si>
  <si>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</si>
  <si>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</si>
  <si>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</si>
  <si>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</si>
  <si>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</si>
  <si>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</si>
  <si>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</si>
  <si>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</si>
  <si>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</si>
  <si>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</si>
  <si>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</si>
  <si>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</si>
  <si>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</si>
  <si>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</si>
  <si>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</si>
  <si>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</si>
  <si>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</si>
  <si>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</si>
  <si>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</si>
  <si>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</si>
  <si>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</si>
  <si>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</si>
  <si>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</si>
  <si>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</si>
  <si>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</si>
  <si>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</si>
  <si>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</si>
  <si>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</si>
  <si>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</si>
  <si>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</si>
  <si>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</si>
  <si>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</si>
  <si>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</si>
  <si>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</si>
  <si>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</si>
  <si>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</si>
  <si>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</si>
  <si>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</si>
  <si>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</si>
  <si>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</si>
  <si>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</si>
  <si>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</si>
  <si>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</si>
  <si>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</si>
  <si>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</si>
  <si>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</si>
  <si>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</si>
  <si>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</si>
  <si>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</si>
  <si>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</si>
  <si>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</si>
  <si>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</si>
  <si>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</si>
  <si>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</si>
  <si>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</si>
  <si>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</si>
  <si>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</si>
  <si>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</si>
  <si>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</si>
  <si>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</si>
  <si>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</si>
  <si>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</si>
  <si>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</si>
  <si>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</si>
  <si>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</si>
  <si>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</si>
  <si>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</si>
  <si>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</si>
  <si>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</si>
  <si>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</si>
  <si>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board </t>
  </si>
  <si>
    <t>Total Geral</t>
  </si>
  <si>
    <t>Soma de Total Value</t>
  </si>
  <si>
    <t>d</t>
  </si>
  <si>
    <t>Qual faturamento total de vendas de planos anuais?</t>
  </si>
  <si>
    <t>Pergunta 1</t>
  </si>
  <si>
    <t>Pergunta 2</t>
  </si>
  <si>
    <t>Qual faturamento total de vendas de planos anuais, por autorenovação e por não? autorenovação</t>
  </si>
  <si>
    <t>1537 na renovação automática e 217 na não automática</t>
  </si>
  <si>
    <t>#E8E6E9</t>
  </si>
  <si>
    <t>XBOX GAME PASS SUBSCRIPTIONS SALES</t>
  </si>
  <si>
    <t>Soma de EA Play Season Pass</t>
  </si>
  <si>
    <t>Pergunta 4 -</t>
  </si>
  <si>
    <t>Pergunta 3 -</t>
  </si>
  <si>
    <t>Pergunta 2 -</t>
  </si>
  <si>
    <t>Pergunta 1 -</t>
  </si>
  <si>
    <t>Total de Vendas de Assinatura do Minecraft Season Pass Price</t>
  </si>
  <si>
    <t>Total de vendas de assinatura do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</si>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</sst>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22C55E"/>
      <name val="Segoe UI"/>
      <family val="2"/>
    </font>
    <font>
      <sz val="12"/>
      <color theme="1"/>
      <name val="Aptos Narrow"/>
      <family val="2"/>
      <scheme val="minor"/>
    </font>
    <font>
      <sz val="11"/>
      <color theme="1"/>
      <name val="Rage Italic"/>
      <family val="4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44" fontId="3" fillId="0" borderId="0" xfId="2" applyFont="1" applyAlignment="1">
      <alignment horizontal="left"/>
    </xf>
    <xf numFmtId="0" fontId="5" fillId="0" borderId="2" xfId="0" applyFont="1" applyBorder="1"/>
    <xf numFmtId="0" fontId="0" fillId="0" borderId="2" xfId="0" applyBorder="1"/>
    <xf numFmtId="0" fontId="6" fillId="7" borderId="0" xfId="0" applyFont="1" applyFill="1"/>
    <xf numFmtId="0" fontId="7" fillId="7" borderId="0" xfId="0" applyFont="1" applyFill="1"/>
    <xf numFmtId="44" fontId="0" fillId="0" borderId="0" xfId="2" applyFont="1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22C55E"/>
        </patternFill>
      </fill>
    </dxf>
    <dxf>
      <font>
        <u/>
        <color theme="9"/>
      </font>
    </dxf>
    <dxf>
      <fill>
        <patternFill>
          <fgColor rgb="FF22C55E"/>
          <bgColor rgb="FF00B050"/>
        </patternFill>
      </fill>
    </dxf>
  </dxfs>
  <tableStyles count="4" defaultTableStyle="TableStyleMedium2" defaultPivotStyle="PivotStyleLight16">
    <tableStyle name="Estilo de Segmentação de Dados 1" pivot="0" table="0" count="1" xr9:uid="{4EA20285-2F05-461E-8B8D-466CDFD42485}">
      <tableStyleElement type="wholeTable" dxfId="18"/>
    </tableStyle>
    <tableStyle name="Estilo de Segmentação de Dados 2" pivot="0" table="0" count="1" xr9:uid="{AA8C271A-4E3C-4192-BCCF-76E7B64A2D83}">
      <tableStyleElement type="wholeTable" dxfId="17"/>
    </tableStyle>
    <tableStyle name="Estilo de Segmentação de Dados 3" pivot="0" table="0" count="1" xr9:uid="{C16B5AA5-F0BC-415F-BAF7-AD9D6312FEE8}">
      <tableStyleElement type="wholeTable" dxfId="16"/>
    </tableStyle>
    <tableStyle name="SlicerStyleLight3 2" pivot="0" table="0" count="10" xr9:uid="{55922315-C73C-4A11-8B40-BBC03F830B08}">
      <tableStyleElement type="wholeTable" dxfId="15"/>
      <tableStyleElement type="headerRow" dxfId="14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 do Xbox com Excel.xlsx]C̳álculos!Tbl_annual_Total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1108995483252144E-2"/>
                  <c:h val="5.6549857182293634E-2"/>
                </c:manualLayout>
              </c15:layout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6.5984382094254664E-3"/>
              <c:y val="5.144394443000818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CA7B91D-A9E8-433B-9779-9187AF55B97B}" type="VALUE">
                  <a:rPr lang="en-US" sz="1100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01068596285534"/>
          <c:y val="0.12748498049484619"/>
          <c:w val="0.77285169068326331"/>
          <c:h val="0.76587607054290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F-41DA-9A47-C30193041EB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CF-41DA-9A47-C30193041EB8}"/>
              </c:ext>
            </c:extLst>
          </c:dPt>
          <c:dLbls>
            <c:dLbl>
              <c:idx val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108995483252144E-2"/>
                      <c:h val="5.65498571822936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8CF-41DA-9A47-C30193041EB8}"/>
                </c:ext>
              </c:extLst>
            </c:dLbl>
            <c:dLbl>
              <c:idx val="1"/>
              <c:layout>
                <c:manualLayout>
                  <c:x val="6.5984382094254664E-3"/>
                  <c:y val="5.1443944430008184E-3"/>
                </c:manualLayout>
              </c:layout>
              <c:tx>
                <c:rich>
                  <a:bodyPr/>
                  <a:lstStyle/>
                  <a:p>
                    <a:fld id="{7CA7B91D-A9E8-433B-9779-9187AF55B97B}" type="VALUE">
                      <a:rPr lang="en-US" sz="1100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8CF-41DA-9A47-C30193041EB8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F-41DA-9A47-C30193041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957503"/>
        <c:axId val="1436341039"/>
      </c:barChart>
      <c:catAx>
        <c:axId val="12895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341039"/>
        <c:crosses val="autoZero"/>
        <c:auto val="1"/>
        <c:lblAlgn val="ctr"/>
        <c:lblOffset val="100"/>
        <c:noMultiLvlLbl val="0"/>
      </c:catAx>
      <c:valAx>
        <c:axId val="143634103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5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24493</xdr:colOff>
      <xdr:row>21</xdr:row>
      <xdr:rowOff>180975</xdr:rowOff>
    </xdr:from>
    <xdr:to>
      <xdr:col>3</xdr:col>
      <xdr:colOff>24493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093" y="4241346"/>
          <a:ext cx="1219200" cy="11811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85013"/>
          <a:ext cx="1549476" cy="730705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1196228</xdr:colOff>
      <xdr:row>0</xdr:row>
      <xdr:rowOff>0</xdr:rowOff>
    </xdr:from>
    <xdr:to>
      <xdr:col>2</xdr:col>
      <xdr:colOff>179623</xdr:colOff>
      <xdr:row>5</xdr:row>
      <xdr:rowOff>9526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4DC8DB-EEA6-4552-AE3E-597841A98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910" t="-1563" r="67692" b="1563"/>
        <a:stretch>
          <a:fillRect/>
        </a:stretch>
      </xdr:blipFill>
      <xdr:spPr>
        <a:xfrm>
          <a:off x="3258110" y="0"/>
          <a:ext cx="1045278" cy="914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55420</xdr:rowOff>
    </xdr:from>
    <xdr:to>
      <xdr:col>1</xdr:col>
      <xdr:colOff>0</xdr:colOff>
      <xdr:row>24</xdr:row>
      <xdr:rowOff>26845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99D7A30B-D7BC-45A5-A862-0AF74BE3B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4991"/>
              <a:ext cx="2068286" cy="2932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506682</xdr:colOff>
      <xdr:row>5</xdr:row>
      <xdr:rowOff>119743</xdr:rowOff>
    </xdr:from>
    <xdr:to>
      <xdr:col>10</xdr:col>
      <xdr:colOff>325987</xdr:colOff>
      <xdr:row>34</xdr:row>
      <xdr:rowOff>152400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D37F325C-E837-FDF1-5C81-61E0D2494E47}"/>
            </a:ext>
          </a:extLst>
        </xdr:cNvPr>
        <xdr:cNvGrpSpPr/>
      </xdr:nvGrpSpPr>
      <xdr:grpSpPr>
        <a:xfrm>
          <a:off x="2564082" y="1053193"/>
          <a:ext cx="10011055" cy="5576207"/>
          <a:chOff x="2564082" y="1053193"/>
          <a:chExt cx="10011055" cy="5576207"/>
        </a:xfrm>
      </xdr:grpSpPr>
      <xdr:sp macro="" textlink="C̳álculos!E20">
        <xdr:nvSpPr>
          <xdr:cNvPr id="13" name="Retângulo 12">
            <a:extLst>
              <a:ext uri="{FF2B5EF4-FFF2-40B4-BE49-F238E27FC236}">
                <a16:creationId xmlns:a16="http://schemas.microsoft.com/office/drawing/2014/main" id="{6E297506-C8F1-4EC1-9ADA-B34684B1A6D8}"/>
              </a:ext>
            </a:extLst>
          </xdr:cNvPr>
          <xdr:cNvSpPr/>
        </xdr:nvSpPr>
        <xdr:spPr>
          <a:xfrm>
            <a:off x="2590093" y="1393823"/>
            <a:ext cx="9985044" cy="523557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0" b="0" i="0" u="none" strike="noStrike">
                <a:solidFill>
                  <a:srgbClr val="22C55E"/>
                </a:solidFill>
                <a:latin typeface="Aptos Narrow"/>
              </a:rPr>
              <a:t>                    </a:t>
            </a:r>
            <a:endParaRPr lang="pt-BR" sz="8000">
              <a:solidFill>
                <a:srgbClr val="22C55E"/>
              </a:solidFill>
            </a:endParaRPr>
          </a:p>
        </xdr:txBody>
      </xdr:sp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1BC4225-A5C3-4E6C-71D3-AC3199AF65D3}"/>
              </a:ext>
            </a:extLst>
          </xdr:cNvPr>
          <xdr:cNvGrpSpPr/>
        </xdr:nvGrpSpPr>
        <xdr:grpSpPr>
          <a:xfrm>
            <a:off x="2564082" y="1053193"/>
            <a:ext cx="10005454" cy="3709307"/>
            <a:chOff x="2591791" y="1020288"/>
            <a:chExt cx="9988136" cy="3510148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B196AAFA-9669-4814-8EAA-B5AD5B5AF61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2511" b="30001"/>
            <a:stretch>
              <a:fillRect/>
            </a:stretch>
          </xdr:blipFill>
          <xdr:spPr>
            <a:xfrm>
              <a:off x="2964872" y="3297382"/>
              <a:ext cx="3399282" cy="1233054"/>
            </a:xfrm>
            <a:prstGeom prst="rect">
              <a:avLst/>
            </a:prstGeom>
          </xdr:spPr>
        </xdr:pic>
        <xdr:sp macro="" textlink="">
          <xdr:nvSpPr>
            <xdr:cNvPr id="16" name="Retângulo 15">
              <a:extLst>
                <a:ext uri="{FF2B5EF4-FFF2-40B4-BE49-F238E27FC236}">
                  <a16:creationId xmlns:a16="http://schemas.microsoft.com/office/drawing/2014/main" id="{6EFD5748-EF99-7D54-6DC3-CB1E90AB1B53}"/>
                </a:ext>
              </a:extLst>
            </xdr:cNvPr>
            <xdr:cNvSpPr/>
          </xdr:nvSpPr>
          <xdr:spPr>
            <a:xfrm>
              <a:off x="2591791" y="1020288"/>
              <a:ext cx="9988136" cy="1150696"/>
            </a:xfrm>
            <a:prstGeom prst="rect">
              <a:avLst/>
            </a:prstGeom>
            <a:solidFill>
              <a:schemeClr val="accent6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36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3600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3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E20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21607A-588D-7A61-3893-4EC90D1C4AC5}"/>
                </a:ext>
              </a:extLst>
            </xdr:cNvPr>
            <xdr:cNvSpPr txBox="1"/>
          </xdr:nvSpPr>
          <xdr:spPr>
            <a:xfrm>
              <a:off x="6636327" y="3103418"/>
              <a:ext cx="5278582" cy="14270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9D1334D-D65D-4B03-A8CC-69B11AF0D78E}" type="TxLink">
                <a:rPr lang="en-US" sz="80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R$ 600,00 </a:t>
              </a:fld>
              <a:endParaRPr lang="pt-BR" sz="8000"/>
            </a:p>
          </xdr:txBody>
        </xdr:sp>
      </xdr:grpSp>
    </xdr:grpSp>
    <xdr:clientData/>
  </xdr:twoCellAnchor>
  <xdr:twoCellAnchor editAs="absolute">
    <xdr:from>
      <xdr:col>11</xdr:col>
      <xdr:colOff>141268</xdr:colOff>
      <xdr:row>5</xdr:row>
      <xdr:rowOff>171697</xdr:rowOff>
    </xdr:from>
    <xdr:to>
      <xdr:col>27</xdr:col>
      <xdr:colOff>528915</xdr:colOff>
      <xdr:row>34</xdr:row>
      <xdr:rowOff>152400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2B879A0A-8074-1F2E-2D32-7220AA0C0E6B}"/>
            </a:ext>
          </a:extLst>
        </xdr:cNvPr>
        <xdr:cNvGrpSpPr/>
      </xdr:nvGrpSpPr>
      <xdr:grpSpPr>
        <a:xfrm>
          <a:off x="13000018" y="1105147"/>
          <a:ext cx="9988847" cy="5524253"/>
          <a:chOff x="13000018" y="1105147"/>
          <a:chExt cx="9988847" cy="5524253"/>
        </a:xfrm>
      </xdr:grpSpPr>
      <xdr:sp macro="" textlink="C̳álculos!E20">
        <xdr:nvSpPr>
          <xdr:cNvPr id="8" name="Retângulo 7">
            <a:extLst>
              <a:ext uri="{FF2B5EF4-FFF2-40B4-BE49-F238E27FC236}">
                <a16:creationId xmlns:a16="http://schemas.microsoft.com/office/drawing/2014/main" id="{4236641F-18B8-4DFD-B527-2B283D97EA97}"/>
              </a:ext>
            </a:extLst>
          </xdr:cNvPr>
          <xdr:cNvSpPr/>
        </xdr:nvSpPr>
        <xdr:spPr>
          <a:xfrm>
            <a:off x="13004331" y="1393823"/>
            <a:ext cx="9984534" cy="523557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0" b="0" i="0" u="none" strike="noStrike">
                <a:solidFill>
                  <a:srgbClr val="22C55E"/>
                </a:solidFill>
                <a:latin typeface="Aptos Narrow"/>
              </a:rPr>
              <a:t>                    </a:t>
            </a:r>
            <a:endParaRPr lang="pt-BR" sz="8000">
              <a:solidFill>
                <a:srgbClr val="22C55E"/>
              </a:solidFill>
            </a:endParaRP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98291F2F-A088-1EAD-748E-901A549D93CB}"/>
              </a:ext>
            </a:extLst>
          </xdr:cNvPr>
          <xdr:cNvSpPr/>
        </xdr:nvSpPr>
        <xdr:spPr>
          <a:xfrm>
            <a:off x="13000018" y="1105147"/>
            <a:ext cx="9974282" cy="1223432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36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3600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3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30">
        <xdr:nvSpPr>
          <xdr:cNvPr id="12" name="CaixaDeTexto 11">
            <a:extLst>
              <a:ext uri="{FF2B5EF4-FFF2-40B4-BE49-F238E27FC236}">
                <a16:creationId xmlns:a16="http://schemas.microsoft.com/office/drawing/2014/main" id="{4D8220BC-16D9-9FC2-5E84-5B33E3137CCE}"/>
              </a:ext>
            </a:extLst>
          </xdr:cNvPr>
          <xdr:cNvSpPr txBox="1"/>
        </xdr:nvSpPr>
        <xdr:spPr>
          <a:xfrm>
            <a:off x="17053214" y="3165763"/>
            <a:ext cx="5278582" cy="149975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7D5943E-27F2-41E3-9032-3534A81A9788}" type="TxLink">
              <a:rPr lang="en-US" sz="8000" b="0" i="0" u="none" strike="noStrike">
                <a:solidFill>
                  <a:srgbClr val="000000"/>
                </a:solidFill>
                <a:latin typeface="Aptos Narrow"/>
              </a:rPr>
              <a:t> R$ 940,00 </a:t>
            </a:fld>
            <a:endParaRPr lang="pt-BR" sz="8000"/>
          </a:p>
        </xdr:txBody>
      </xdr:sp>
    </xdr:grpSp>
    <xdr:clientData/>
  </xdr:twoCellAnchor>
  <xdr:twoCellAnchor editAs="absolute">
    <xdr:from>
      <xdr:col>11</xdr:col>
      <xdr:colOff>585268</xdr:colOff>
      <xdr:row>17</xdr:row>
      <xdr:rowOff>10884</xdr:rowOff>
    </xdr:from>
    <xdr:to>
      <xdr:col>16</xdr:col>
      <xdr:colOff>507146</xdr:colOff>
      <xdr:row>24</xdr:row>
      <xdr:rowOff>199283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F1C00AD0-8032-467A-BC45-4DD83A48085A}"/>
            </a:ext>
          </a:extLst>
        </xdr:cNvPr>
        <xdr:cNvGrpSpPr/>
      </xdr:nvGrpSpPr>
      <xdr:grpSpPr>
        <a:xfrm>
          <a:off x="13444018" y="3230334"/>
          <a:ext cx="2817478" cy="1521899"/>
          <a:chOff x="3495675" y="5400674"/>
          <a:chExt cx="1549476" cy="752476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59C89E06-A69C-EFBD-26DC-4E78746A31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D30B863C-AA9C-0128-7338-EA1F6015F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182305</xdr:colOff>
      <xdr:row>39</xdr:row>
      <xdr:rowOff>29387</xdr:rowOff>
    </xdr:from>
    <xdr:to>
      <xdr:col>22</xdr:col>
      <xdr:colOff>581891</xdr:colOff>
      <xdr:row>70</xdr:row>
      <xdr:rowOff>83128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38D9F353-AA4E-61A8-4041-9556ED2D0BC9}"/>
            </a:ext>
          </a:extLst>
        </xdr:cNvPr>
        <xdr:cNvGrpSpPr/>
      </xdr:nvGrpSpPr>
      <xdr:grpSpPr>
        <a:xfrm>
          <a:off x="4544755" y="7458887"/>
          <a:ext cx="15449086" cy="5959241"/>
          <a:chOff x="2496014" y="7081351"/>
          <a:chExt cx="15431768" cy="5637122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65D20EE-B628-4F29-BD1A-71420773F9C1}"/>
              </a:ext>
            </a:extLst>
          </xdr:cNvPr>
          <xdr:cNvGraphicFramePr>
            <a:graphicFrameLocks/>
          </xdr:cNvGraphicFramePr>
        </xdr:nvGraphicFramePr>
        <xdr:xfrm>
          <a:off x="2516344" y="7781060"/>
          <a:ext cx="15397583" cy="4937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8DDCCE9F-199C-432C-B2CB-2512CF9FD5B3}"/>
              </a:ext>
            </a:extLst>
          </xdr:cNvPr>
          <xdr:cNvSpPr/>
        </xdr:nvSpPr>
        <xdr:spPr>
          <a:xfrm>
            <a:off x="2496014" y="7081351"/>
            <a:ext cx="15431768" cy="718759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36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3600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3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314438</xdr:colOff>
      <xdr:row>0</xdr:row>
      <xdr:rowOff>179506</xdr:rowOff>
    </xdr:from>
    <xdr:to>
      <xdr:col>0</xdr:col>
      <xdr:colOff>1009763</xdr:colOff>
      <xdr:row>4</xdr:row>
      <xdr:rowOff>78566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CA96A32C-551B-4C96-9850-4987ACE1226C}"/>
            </a:ext>
          </a:extLst>
        </xdr:cNvPr>
        <xdr:cNvSpPr/>
      </xdr:nvSpPr>
      <xdr:spPr>
        <a:xfrm>
          <a:off x="314438" y="179506"/>
          <a:ext cx="695325" cy="68756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Souza" refreshedDate="46310.720376736113" createdVersion="8" refreshedVersion="8" minRefreshableVersion="3" recordCount="295" xr:uid="{C149E32C-B6A3-46D9-9491-BEE847A1AD8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79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516859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x v="0"/>
    <n v="5"/>
    <n v="60"/>
  </r>
  <r>
    <n v="3232"/>
    <x v="1"/>
    <x v="1"/>
    <d v="2024-01-15T00:00:00"/>
    <x v="1"/>
    <n v="5"/>
    <x v="1"/>
    <x v="1"/>
    <x v="1"/>
    <x v="1"/>
    <x v="1"/>
    <n v="0"/>
    <n v="5"/>
  </r>
  <r>
    <n v="3233"/>
    <x v="2"/>
    <x v="2"/>
    <d v="2024-02-10T00:00:00"/>
    <x v="0"/>
    <n v="10"/>
    <x v="2"/>
    <x v="1"/>
    <x v="1"/>
    <x v="0"/>
    <x v="0"/>
    <n v="10"/>
    <n v="20"/>
  </r>
  <r>
    <n v="3234"/>
    <x v="3"/>
    <x v="0"/>
    <d v="2024-02-20T00:00:00"/>
    <x v="1"/>
    <n v="15"/>
    <x v="0"/>
    <x v="0"/>
    <x v="0"/>
    <x v="0"/>
    <x v="0"/>
    <n v="3"/>
    <n v="62"/>
  </r>
  <r>
    <n v="3235"/>
    <x v="4"/>
    <x v="1"/>
    <d v="2024-03-05T00:00:00"/>
    <x v="0"/>
    <n v="5"/>
    <x v="0"/>
    <x v="1"/>
    <x v="1"/>
    <x v="1"/>
    <x v="1"/>
    <n v="1"/>
    <n v="4"/>
  </r>
  <r>
    <n v="3236"/>
    <x v="5"/>
    <x v="2"/>
    <d v="2024-03-02T00:00:00"/>
    <x v="1"/>
    <n v="10"/>
    <x v="0"/>
    <x v="1"/>
    <x v="1"/>
    <x v="0"/>
    <x v="0"/>
    <n v="2"/>
    <n v="28"/>
  </r>
  <r>
    <n v="3237"/>
    <x v="6"/>
    <x v="0"/>
    <d v="2024-03-03T00:00:00"/>
    <x v="0"/>
    <n v="15"/>
    <x v="2"/>
    <x v="0"/>
    <x v="0"/>
    <x v="0"/>
    <x v="0"/>
    <n v="10"/>
    <n v="55"/>
  </r>
  <r>
    <n v="3238"/>
    <x v="7"/>
    <x v="1"/>
    <d v="2024-03-04T00:00:00"/>
    <x v="0"/>
    <n v="5"/>
    <x v="1"/>
    <x v="1"/>
    <x v="1"/>
    <x v="1"/>
    <x v="1"/>
    <n v="0"/>
    <n v="5"/>
  </r>
  <r>
    <n v="3239"/>
    <x v="8"/>
    <x v="0"/>
    <d v="2024-03-05T00:00:00"/>
    <x v="1"/>
    <n v="15"/>
    <x v="0"/>
    <x v="0"/>
    <x v="0"/>
    <x v="0"/>
    <x v="0"/>
    <n v="5"/>
    <n v="60"/>
  </r>
  <r>
    <n v="3240"/>
    <x v="9"/>
    <x v="2"/>
    <d v="2024-03-06T00:00:00"/>
    <x v="0"/>
    <n v="10"/>
    <x v="2"/>
    <x v="1"/>
    <x v="1"/>
    <x v="0"/>
    <x v="0"/>
    <n v="15"/>
    <n v="15"/>
  </r>
  <r>
    <n v="3241"/>
    <x v="10"/>
    <x v="1"/>
    <d v="2024-03-07T00:00:00"/>
    <x v="1"/>
    <n v="5"/>
    <x v="0"/>
    <x v="1"/>
    <x v="1"/>
    <x v="1"/>
    <x v="1"/>
    <n v="1"/>
    <n v="4"/>
  </r>
  <r>
    <n v="3242"/>
    <x v="11"/>
    <x v="0"/>
    <d v="2024-03-08T00:00:00"/>
    <x v="0"/>
    <n v="15"/>
    <x v="1"/>
    <x v="0"/>
    <x v="0"/>
    <x v="0"/>
    <x v="0"/>
    <n v="20"/>
    <n v="45"/>
  </r>
  <r>
    <n v="3243"/>
    <x v="12"/>
    <x v="2"/>
    <d v="2024-03-09T00:00:00"/>
    <x v="1"/>
    <n v="10"/>
    <x v="0"/>
    <x v="1"/>
    <x v="1"/>
    <x v="0"/>
    <x v="0"/>
    <n v="10"/>
    <n v="20"/>
  </r>
  <r>
    <n v="3244"/>
    <x v="13"/>
    <x v="1"/>
    <d v="2024-03-10T00:00:00"/>
    <x v="0"/>
    <n v="5"/>
    <x v="2"/>
    <x v="1"/>
    <x v="1"/>
    <x v="1"/>
    <x v="1"/>
    <n v="0"/>
    <n v="5"/>
  </r>
  <r>
    <n v="3245"/>
    <x v="14"/>
    <x v="0"/>
    <d v="2024-03-11T00:00:00"/>
    <x v="1"/>
    <n v="15"/>
    <x v="0"/>
    <x v="0"/>
    <x v="0"/>
    <x v="0"/>
    <x v="0"/>
    <n v="8"/>
    <n v="57"/>
  </r>
  <r>
    <n v="3246"/>
    <x v="15"/>
    <x v="2"/>
    <d v="2024-03-12T00:00:00"/>
    <x v="0"/>
    <n v="10"/>
    <x v="1"/>
    <x v="1"/>
    <x v="1"/>
    <x v="0"/>
    <x v="0"/>
    <n v="12"/>
    <n v="18"/>
  </r>
  <r>
    <n v="3247"/>
    <x v="16"/>
    <x v="1"/>
    <d v="2024-03-13T00:00:00"/>
    <x v="1"/>
    <n v="5"/>
    <x v="0"/>
    <x v="1"/>
    <x v="1"/>
    <x v="1"/>
    <x v="1"/>
    <n v="2"/>
    <n v="3"/>
  </r>
  <r>
    <n v="3248"/>
    <x v="17"/>
    <x v="0"/>
    <d v="2024-03-14T00:00:00"/>
    <x v="0"/>
    <n v="15"/>
    <x v="2"/>
    <x v="0"/>
    <x v="0"/>
    <x v="0"/>
    <x v="0"/>
    <n v="7"/>
    <n v="58"/>
  </r>
  <r>
    <n v="3249"/>
    <x v="18"/>
    <x v="2"/>
    <d v="2024-03-15T00:00:00"/>
    <x v="1"/>
    <n v="10"/>
    <x v="0"/>
    <x v="1"/>
    <x v="1"/>
    <x v="0"/>
    <x v="0"/>
    <n v="5"/>
    <n v="25"/>
  </r>
  <r>
    <n v="3250"/>
    <x v="19"/>
    <x v="1"/>
    <d v="2024-03-16T00:00:00"/>
    <x v="0"/>
    <n v="5"/>
    <x v="1"/>
    <x v="1"/>
    <x v="1"/>
    <x v="1"/>
    <x v="1"/>
    <n v="0"/>
    <n v="5"/>
  </r>
  <r>
    <n v="3251"/>
    <x v="20"/>
    <x v="0"/>
    <d v="2024-03-17T00:00:00"/>
    <x v="1"/>
    <n v="15"/>
    <x v="0"/>
    <x v="0"/>
    <x v="0"/>
    <x v="0"/>
    <x v="0"/>
    <n v="3"/>
    <n v="62"/>
  </r>
  <r>
    <n v="3252"/>
    <x v="21"/>
    <x v="2"/>
    <d v="2024-03-18T00:00:00"/>
    <x v="0"/>
    <n v="10"/>
    <x v="2"/>
    <x v="1"/>
    <x v="1"/>
    <x v="0"/>
    <x v="0"/>
    <n v="15"/>
    <n v="15"/>
  </r>
  <r>
    <n v="3253"/>
    <x v="22"/>
    <x v="1"/>
    <d v="2024-03-19T00:00:00"/>
    <x v="1"/>
    <n v="5"/>
    <x v="0"/>
    <x v="1"/>
    <x v="1"/>
    <x v="1"/>
    <x v="1"/>
    <n v="1"/>
    <n v="4"/>
  </r>
  <r>
    <n v="3254"/>
    <x v="23"/>
    <x v="0"/>
    <d v="2024-03-20T00:00:00"/>
    <x v="0"/>
    <n v="15"/>
    <x v="1"/>
    <x v="0"/>
    <x v="0"/>
    <x v="0"/>
    <x v="0"/>
    <n v="20"/>
    <n v="45"/>
  </r>
  <r>
    <n v="3255"/>
    <x v="24"/>
    <x v="2"/>
    <d v="2024-03-21T00:00:00"/>
    <x v="1"/>
    <n v="10"/>
    <x v="0"/>
    <x v="1"/>
    <x v="1"/>
    <x v="0"/>
    <x v="0"/>
    <n v="10"/>
    <n v="20"/>
  </r>
  <r>
    <n v="3256"/>
    <x v="25"/>
    <x v="1"/>
    <d v="2024-03-22T00:00:00"/>
    <x v="0"/>
    <n v="5"/>
    <x v="2"/>
    <x v="1"/>
    <x v="1"/>
    <x v="1"/>
    <x v="1"/>
    <n v="0"/>
    <n v="5"/>
  </r>
  <r>
    <n v="3257"/>
    <x v="26"/>
    <x v="0"/>
    <d v="2024-03-23T00:00:00"/>
    <x v="1"/>
    <n v="15"/>
    <x v="0"/>
    <x v="0"/>
    <x v="0"/>
    <x v="0"/>
    <x v="0"/>
    <n v="5"/>
    <n v="60"/>
  </r>
  <r>
    <n v="3258"/>
    <x v="27"/>
    <x v="2"/>
    <d v="2024-03-24T00:00:00"/>
    <x v="0"/>
    <n v="10"/>
    <x v="1"/>
    <x v="1"/>
    <x v="1"/>
    <x v="0"/>
    <x v="0"/>
    <n v="15"/>
    <n v="15"/>
  </r>
  <r>
    <n v="3259"/>
    <x v="28"/>
    <x v="1"/>
    <d v="2024-03-25T00:00:00"/>
    <x v="1"/>
    <n v="5"/>
    <x v="0"/>
    <x v="1"/>
    <x v="1"/>
    <x v="1"/>
    <x v="1"/>
    <n v="1"/>
    <n v="4"/>
  </r>
  <r>
    <n v="3260"/>
    <x v="29"/>
    <x v="0"/>
    <d v="2024-03-26T00:00:00"/>
    <x v="0"/>
    <n v="15"/>
    <x v="2"/>
    <x v="0"/>
    <x v="0"/>
    <x v="0"/>
    <x v="0"/>
    <n v="7"/>
    <n v="58"/>
  </r>
  <r>
    <n v="3261"/>
    <x v="30"/>
    <x v="2"/>
    <d v="2024-03-27T00:00:00"/>
    <x v="1"/>
    <n v="10"/>
    <x v="0"/>
    <x v="1"/>
    <x v="1"/>
    <x v="0"/>
    <x v="0"/>
    <n v="10"/>
    <n v="20"/>
  </r>
  <r>
    <n v="3262"/>
    <x v="31"/>
    <x v="1"/>
    <d v="2024-03-28T00:00:00"/>
    <x v="0"/>
    <n v="5"/>
    <x v="1"/>
    <x v="1"/>
    <x v="1"/>
    <x v="1"/>
    <x v="1"/>
    <n v="0"/>
    <n v="5"/>
  </r>
  <r>
    <n v="3263"/>
    <x v="32"/>
    <x v="0"/>
    <d v="2024-03-29T00:00:00"/>
    <x v="1"/>
    <n v="15"/>
    <x v="0"/>
    <x v="0"/>
    <x v="0"/>
    <x v="0"/>
    <x v="0"/>
    <n v="3"/>
    <n v="62"/>
  </r>
  <r>
    <n v="3264"/>
    <x v="33"/>
    <x v="2"/>
    <d v="2024-03-30T00:00:00"/>
    <x v="0"/>
    <n v="10"/>
    <x v="2"/>
    <x v="1"/>
    <x v="1"/>
    <x v="0"/>
    <x v="0"/>
    <n v="15"/>
    <n v="15"/>
  </r>
  <r>
    <n v="3265"/>
    <x v="34"/>
    <x v="1"/>
    <d v="2024-03-31T00:00:00"/>
    <x v="1"/>
    <n v="5"/>
    <x v="0"/>
    <x v="1"/>
    <x v="1"/>
    <x v="1"/>
    <x v="1"/>
    <n v="1"/>
    <n v="4"/>
  </r>
  <r>
    <n v="3266"/>
    <x v="35"/>
    <x v="1"/>
    <d v="2024-04-01T00:00:00"/>
    <x v="0"/>
    <n v="5"/>
    <x v="0"/>
    <x v="1"/>
    <x v="1"/>
    <x v="1"/>
    <x v="1"/>
    <n v="0"/>
    <n v="5"/>
  </r>
  <r>
    <n v="3267"/>
    <x v="36"/>
    <x v="0"/>
    <d v="2024-04-02T00:00:00"/>
    <x v="1"/>
    <n v="15"/>
    <x v="2"/>
    <x v="0"/>
    <x v="0"/>
    <x v="0"/>
    <x v="0"/>
    <n v="7"/>
    <n v="58"/>
  </r>
  <r>
    <n v="3268"/>
    <x v="37"/>
    <x v="2"/>
    <d v="2024-04-03T00:00:00"/>
    <x v="0"/>
    <n v="10"/>
    <x v="1"/>
    <x v="1"/>
    <x v="1"/>
    <x v="0"/>
    <x v="0"/>
    <n v="10"/>
    <n v="20"/>
  </r>
  <r>
    <n v="3269"/>
    <x v="38"/>
    <x v="1"/>
    <d v="2024-04-04T00:00:00"/>
    <x v="1"/>
    <n v="5"/>
    <x v="2"/>
    <x v="1"/>
    <x v="1"/>
    <x v="1"/>
    <x v="1"/>
    <n v="1"/>
    <n v="4"/>
  </r>
  <r>
    <n v="3270"/>
    <x v="39"/>
    <x v="0"/>
    <d v="2024-04-05T00:00:00"/>
    <x v="0"/>
    <n v="15"/>
    <x v="0"/>
    <x v="0"/>
    <x v="0"/>
    <x v="0"/>
    <x v="0"/>
    <n v="15"/>
    <n v="50"/>
  </r>
  <r>
    <n v="3271"/>
    <x v="40"/>
    <x v="2"/>
    <d v="2024-04-06T00:00:00"/>
    <x v="1"/>
    <n v="10"/>
    <x v="0"/>
    <x v="1"/>
    <x v="1"/>
    <x v="0"/>
    <x v="0"/>
    <n v="5"/>
    <n v="25"/>
  </r>
  <r>
    <n v="3272"/>
    <x v="41"/>
    <x v="1"/>
    <d v="2024-04-07T00:00:00"/>
    <x v="0"/>
    <n v="5"/>
    <x v="1"/>
    <x v="1"/>
    <x v="1"/>
    <x v="1"/>
    <x v="1"/>
    <n v="0"/>
    <n v="5"/>
  </r>
  <r>
    <n v="3273"/>
    <x v="42"/>
    <x v="0"/>
    <d v="2024-04-08T00:00:00"/>
    <x v="1"/>
    <n v="15"/>
    <x v="2"/>
    <x v="0"/>
    <x v="0"/>
    <x v="0"/>
    <x v="0"/>
    <n v="20"/>
    <n v="45"/>
  </r>
  <r>
    <n v="3274"/>
    <x v="43"/>
    <x v="2"/>
    <d v="2024-04-09T00:00:00"/>
    <x v="0"/>
    <n v="10"/>
    <x v="2"/>
    <x v="1"/>
    <x v="1"/>
    <x v="0"/>
    <x v="0"/>
    <n v="12"/>
    <n v="18"/>
  </r>
  <r>
    <n v="3275"/>
    <x v="44"/>
    <x v="1"/>
    <d v="2024-04-10T00:00:00"/>
    <x v="1"/>
    <n v="5"/>
    <x v="0"/>
    <x v="1"/>
    <x v="1"/>
    <x v="1"/>
    <x v="1"/>
    <n v="2"/>
    <n v="3"/>
  </r>
  <r>
    <n v="3276"/>
    <x v="45"/>
    <x v="0"/>
    <d v="2024-04-11T00:00:00"/>
    <x v="0"/>
    <n v="15"/>
    <x v="1"/>
    <x v="0"/>
    <x v="0"/>
    <x v="0"/>
    <x v="0"/>
    <n v="5"/>
    <n v="60"/>
  </r>
  <r>
    <n v="3277"/>
    <x v="46"/>
    <x v="2"/>
    <d v="2024-04-12T00:00:00"/>
    <x v="1"/>
    <n v="10"/>
    <x v="0"/>
    <x v="1"/>
    <x v="1"/>
    <x v="0"/>
    <x v="0"/>
    <n v="10"/>
    <n v="20"/>
  </r>
  <r>
    <n v="3278"/>
    <x v="47"/>
    <x v="1"/>
    <d v="2024-04-13T00:00:00"/>
    <x v="0"/>
    <n v="5"/>
    <x v="2"/>
    <x v="1"/>
    <x v="1"/>
    <x v="1"/>
    <x v="1"/>
    <n v="0"/>
    <n v="5"/>
  </r>
  <r>
    <n v="3279"/>
    <x v="48"/>
    <x v="0"/>
    <d v="2024-04-14T00:00:00"/>
    <x v="1"/>
    <n v="15"/>
    <x v="0"/>
    <x v="0"/>
    <x v="0"/>
    <x v="0"/>
    <x v="0"/>
    <n v="3"/>
    <n v="62"/>
  </r>
  <r>
    <n v="3280"/>
    <x v="49"/>
    <x v="2"/>
    <d v="2024-04-15T00:00:00"/>
    <x v="0"/>
    <n v="10"/>
    <x v="1"/>
    <x v="1"/>
    <x v="1"/>
    <x v="0"/>
    <x v="0"/>
    <n v="15"/>
    <n v="15"/>
  </r>
  <r>
    <n v="3281"/>
    <x v="50"/>
    <x v="1"/>
    <d v="2024-04-16T00:00:00"/>
    <x v="1"/>
    <n v="5"/>
    <x v="0"/>
    <x v="1"/>
    <x v="1"/>
    <x v="1"/>
    <x v="1"/>
    <n v="1"/>
    <n v="4"/>
  </r>
  <r>
    <n v="3282"/>
    <x v="51"/>
    <x v="0"/>
    <d v="2024-04-17T00:00:00"/>
    <x v="0"/>
    <n v="15"/>
    <x v="2"/>
    <x v="0"/>
    <x v="0"/>
    <x v="0"/>
    <x v="0"/>
    <n v="7"/>
    <n v="58"/>
  </r>
  <r>
    <n v="3283"/>
    <x v="52"/>
    <x v="2"/>
    <d v="2024-04-18T00:00:00"/>
    <x v="1"/>
    <n v="10"/>
    <x v="0"/>
    <x v="1"/>
    <x v="1"/>
    <x v="0"/>
    <x v="0"/>
    <n v="10"/>
    <n v="20"/>
  </r>
  <r>
    <n v="3284"/>
    <x v="53"/>
    <x v="1"/>
    <d v="2024-04-19T00:00:00"/>
    <x v="0"/>
    <n v="5"/>
    <x v="1"/>
    <x v="1"/>
    <x v="1"/>
    <x v="1"/>
    <x v="1"/>
    <n v="0"/>
    <n v="5"/>
  </r>
  <r>
    <n v="3285"/>
    <x v="54"/>
    <x v="0"/>
    <d v="2024-04-20T00:00:00"/>
    <x v="1"/>
    <n v="15"/>
    <x v="0"/>
    <x v="0"/>
    <x v="0"/>
    <x v="0"/>
    <x v="0"/>
    <n v="20"/>
    <n v="45"/>
  </r>
  <r>
    <n v="3286"/>
    <x v="55"/>
    <x v="2"/>
    <d v="2024-04-21T00:00:00"/>
    <x v="0"/>
    <n v="10"/>
    <x v="2"/>
    <x v="1"/>
    <x v="1"/>
    <x v="0"/>
    <x v="0"/>
    <n v="15"/>
    <n v="15"/>
  </r>
  <r>
    <n v="3287"/>
    <x v="56"/>
    <x v="1"/>
    <d v="2024-04-22T00:00:00"/>
    <x v="1"/>
    <n v="5"/>
    <x v="0"/>
    <x v="1"/>
    <x v="1"/>
    <x v="1"/>
    <x v="1"/>
    <n v="1"/>
    <n v="4"/>
  </r>
  <r>
    <n v="3288"/>
    <x v="57"/>
    <x v="0"/>
    <d v="2024-04-23T00:00:00"/>
    <x v="0"/>
    <n v="15"/>
    <x v="1"/>
    <x v="0"/>
    <x v="0"/>
    <x v="0"/>
    <x v="0"/>
    <n v="3"/>
    <n v="62"/>
  </r>
  <r>
    <n v="3289"/>
    <x v="58"/>
    <x v="2"/>
    <d v="2024-04-24T00:00:00"/>
    <x v="1"/>
    <n v="10"/>
    <x v="0"/>
    <x v="1"/>
    <x v="1"/>
    <x v="0"/>
    <x v="0"/>
    <n v="10"/>
    <n v="20"/>
  </r>
  <r>
    <n v="3290"/>
    <x v="59"/>
    <x v="1"/>
    <d v="2024-04-25T00:00:00"/>
    <x v="0"/>
    <n v="5"/>
    <x v="2"/>
    <x v="1"/>
    <x v="1"/>
    <x v="1"/>
    <x v="1"/>
    <n v="0"/>
    <n v="5"/>
  </r>
  <r>
    <n v="3291"/>
    <x v="60"/>
    <x v="0"/>
    <d v="2024-04-26T00:00:00"/>
    <x v="1"/>
    <n v="15"/>
    <x v="0"/>
    <x v="0"/>
    <x v="0"/>
    <x v="0"/>
    <x v="0"/>
    <n v="5"/>
    <n v="60"/>
  </r>
  <r>
    <n v="3292"/>
    <x v="61"/>
    <x v="2"/>
    <d v="2024-04-27T00:00:00"/>
    <x v="0"/>
    <n v="10"/>
    <x v="1"/>
    <x v="1"/>
    <x v="1"/>
    <x v="0"/>
    <x v="0"/>
    <n v="15"/>
    <n v="15"/>
  </r>
  <r>
    <n v="3293"/>
    <x v="62"/>
    <x v="1"/>
    <d v="2024-04-28T00:00:00"/>
    <x v="1"/>
    <n v="5"/>
    <x v="0"/>
    <x v="1"/>
    <x v="1"/>
    <x v="1"/>
    <x v="1"/>
    <n v="1"/>
    <n v="4"/>
  </r>
  <r>
    <n v="3294"/>
    <x v="63"/>
    <x v="0"/>
    <d v="2024-04-29T00:00:00"/>
    <x v="0"/>
    <n v="15"/>
    <x v="2"/>
    <x v="0"/>
    <x v="0"/>
    <x v="0"/>
    <x v="0"/>
    <n v="20"/>
    <n v="45"/>
  </r>
  <r>
    <n v="3295"/>
    <x v="64"/>
    <x v="2"/>
    <d v="2024-04-30T00:00:00"/>
    <x v="1"/>
    <n v="10"/>
    <x v="0"/>
    <x v="1"/>
    <x v="1"/>
    <x v="0"/>
    <x v="0"/>
    <n v="5"/>
    <n v="25"/>
  </r>
  <r>
    <n v="3296"/>
    <x v="65"/>
    <x v="1"/>
    <d v="2024-05-01T00:00:00"/>
    <x v="1"/>
    <n v="5"/>
    <x v="0"/>
    <x v="1"/>
    <x v="1"/>
    <x v="1"/>
    <x v="1"/>
    <n v="0"/>
    <n v="5"/>
  </r>
  <r>
    <n v="3297"/>
    <x v="66"/>
    <x v="0"/>
    <d v="2024-05-02T00:00:00"/>
    <x v="0"/>
    <n v="15"/>
    <x v="2"/>
    <x v="0"/>
    <x v="0"/>
    <x v="0"/>
    <x v="0"/>
    <n v="7"/>
    <n v="58"/>
  </r>
  <r>
    <n v="3298"/>
    <x v="67"/>
    <x v="2"/>
    <d v="2024-05-03T00:00:00"/>
    <x v="1"/>
    <n v="10"/>
    <x v="1"/>
    <x v="1"/>
    <x v="1"/>
    <x v="0"/>
    <x v="0"/>
    <n v="10"/>
    <n v="20"/>
  </r>
  <r>
    <n v="3299"/>
    <x v="68"/>
    <x v="1"/>
    <d v="2024-05-04T00:00:00"/>
    <x v="0"/>
    <n v="5"/>
    <x v="2"/>
    <x v="1"/>
    <x v="1"/>
    <x v="1"/>
    <x v="1"/>
    <n v="1"/>
    <n v="4"/>
  </r>
  <r>
    <n v="3300"/>
    <x v="69"/>
    <x v="0"/>
    <d v="2024-05-05T00:00:00"/>
    <x v="1"/>
    <n v="15"/>
    <x v="0"/>
    <x v="0"/>
    <x v="0"/>
    <x v="0"/>
    <x v="0"/>
    <n v="15"/>
    <n v="50"/>
  </r>
  <r>
    <n v="3301"/>
    <x v="70"/>
    <x v="2"/>
    <d v="2024-05-06T00:00:00"/>
    <x v="0"/>
    <n v="10"/>
    <x v="0"/>
    <x v="1"/>
    <x v="1"/>
    <x v="0"/>
    <x v="0"/>
    <n v="5"/>
    <n v="25"/>
  </r>
  <r>
    <n v="3302"/>
    <x v="71"/>
    <x v="1"/>
    <d v="2024-05-07T00:00:00"/>
    <x v="1"/>
    <n v="5"/>
    <x v="1"/>
    <x v="1"/>
    <x v="1"/>
    <x v="1"/>
    <x v="1"/>
    <n v="0"/>
    <n v="5"/>
  </r>
  <r>
    <n v="3303"/>
    <x v="72"/>
    <x v="0"/>
    <d v="2024-05-08T00:00:00"/>
    <x v="0"/>
    <n v="15"/>
    <x v="2"/>
    <x v="0"/>
    <x v="0"/>
    <x v="0"/>
    <x v="0"/>
    <n v="20"/>
    <n v="45"/>
  </r>
  <r>
    <n v="3304"/>
    <x v="73"/>
    <x v="2"/>
    <d v="2024-05-09T00:00:00"/>
    <x v="1"/>
    <n v="10"/>
    <x v="2"/>
    <x v="1"/>
    <x v="1"/>
    <x v="0"/>
    <x v="0"/>
    <n v="12"/>
    <n v="18"/>
  </r>
  <r>
    <n v="3305"/>
    <x v="74"/>
    <x v="1"/>
    <d v="2024-05-10T00:00:00"/>
    <x v="0"/>
    <n v="5"/>
    <x v="0"/>
    <x v="1"/>
    <x v="1"/>
    <x v="1"/>
    <x v="1"/>
    <n v="2"/>
    <n v="3"/>
  </r>
  <r>
    <n v="3306"/>
    <x v="75"/>
    <x v="0"/>
    <d v="2024-05-11T00:00:00"/>
    <x v="1"/>
    <n v="15"/>
    <x v="1"/>
    <x v="0"/>
    <x v="0"/>
    <x v="0"/>
    <x v="0"/>
    <n v="5"/>
    <n v="60"/>
  </r>
  <r>
    <n v="3307"/>
    <x v="76"/>
    <x v="2"/>
    <d v="2024-05-12T00:00:00"/>
    <x v="0"/>
    <n v="10"/>
    <x v="0"/>
    <x v="1"/>
    <x v="1"/>
    <x v="0"/>
    <x v="0"/>
    <n v="10"/>
    <n v="20"/>
  </r>
  <r>
    <n v="3308"/>
    <x v="77"/>
    <x v="1"/>
    <d v="2024-05-13T00:00:00"/>
    <x v="1"/>
    <n v="5"/>
    <x v="2"/>
    <x v="1"/>
    <x v="1"/>
    <x v="1"/>
    <x v="1"/>
    <n v="0"/>
    <n v="5"/>
  </r>
  <r>
    <n v="3309"/>
    <x v="78"/>
    <x v="0"/>
    <d v="2024-05-14T00:00:00"/>
    <x v="0"/>
    <n v="15"/>
    <x v="0"/>
    <x v="0"/>
    <x v="0"/>
    <x v="0"/>
    <x v="0"/>
    <n v="3"/>
    <n v="62"/>
  </r>
  <r>
    <n v="3310"/>
    <x v="79"/>
    <x v="2"/>
    <d v="2024-05-15T00:00:00"/>
    <x v="1"/>
    <n v="10"/>
    <x v="1"/>
    <x v="1"/>
    <x v="1"/>
    <x v="0"/>
    <x v="0"/>
    <n v="15"/>
    <n v="15"/>
  </r>
  <r>
    <n v="3311"/>
    <x v="80"/>
    <x v="1"/>
    <d v="2024-05-16T00:00:00"/>
    <x v="0"/>
    <n v="5"/>
    <x v="0"/>
    <x v="1"/>
    <x v="1"/>
    <x v="1"/>
    <x v="1"/>
    <n v="1"/>
    <n v="4"/>
  </r>
  <r>
    <n v="3312"/>
    <x v="81"/>
    <x v="0"/>
    <d v="2024-05-17T00:00:00"/>
    <x v="1"/>
    <n v="15"/>
    <x v="2"/>
    <x v="0"/>
    <x v="0"/>
    <x v="0"/>
    <x v="0"/>
    <n v="7"/>
    <n v="58"/>
  </r>
  <r>
    <n v="3313"/>
    <x v="82"/>
    <x v="2"/>
    <d v="2024-05-18T00:00:00"/>
    <x v="0"/>
    <n v="10"/>
    <x v="0"/>
    <x v="1"/>
    <x v="1"/>
    <x v="0"/>
    <x v="0"/>
    <n v="10"/>
    <n v="20"/>
  </r>
  <r>
    <n v="3314"/>
    <x v="83"/>
    <x v="1"/>
    <d v="2024-05-19T00:00:00"/>
    <x v="1"/>
    <n v="5"/>
    <x v="1"/>
    <x v="1"/>
    <x v="1"/>
    <x v="1"/>
    <x v="1"/>
    <n v="0"/>
    <n v="5"/>
  </r>
  <r>
    <n v="3315"/>
    <x v="84"/>
    <x v="0"/>
    <d v="2024-05-20T00:00:00"/>
    <x v="0"/>
    <n v="15"/>
    <x v="0"/>
    <x v="0"/>
    <x v="0"/>
    <x v="0"/>
    <x v="0"/>
    <n v="20"/>
    <n v="45"/>
  </r>
  <r>
    <n v="3316"/>
    <x v="85"/>
    <x v="2"/>
    <d v="2024-05-21T00:00:00"/>
    <x v="1"/>
    <n v="10"/>
    <x v="2"/>
    <x v="1"/>
    <x v="1"/>
    <x v="0"/>
    <x v="0"/>
    <n v="15"/>
    <n v="15"/>
  </r>
  <r>
    <n v="3317"/>
    <x v="86"/>
    <x v="1"/>
    <d v="2024-05-22T00:00:00"/>
    <x v="0"/>
    <n v="5"/>
    <x v="0"/>
    <x v="1"/>
    <x v="1"/>
    <x v="1"/>
    <x v="1"/>
    <n v="1"/>
    <n v="4"/>
  </r>
  <r>
    <n v="3318"/>
    <x v="87"/>
    <x v="0"/>
    <d v="2024-05-23T00:00:00"/>
    <x v="1"/>
    <n v="15"/>
    <x v="1"/>
    <x v="0"/>
    <x v="0"/>
    <x v="0"/>
    <x v="0"/>
    <n v="3"/>
    <n v="62"/>
  </r>
  <r>
    <n v="3319"/>
    <x v="88"/>
    <x v="2"/>
    <d v="2024-05-24T00:00:00"/>
    <x v="0"/>
    <n v="10"/>
    <x v="0"/>
    <x v="1"/>
    <x v="1"/>
    <x v="0"/>
    <x v="0"/>
    <n v="10"/>
    <n v="20"/>
  </r>
  <r>
    <n v="3320"/>
    <x v="89"/>
    <x v="1"/>
    <d v="2024-05-25T00:00:00"/>
    <x v="1"/>
    <n v="5"/>
    <x v="2"/>
    <x v="1"/>
    <x v="1"/>
    <x v="1"/>
    <x v="1"/>
    <n v="0"/>
    <n v="5"/>
  </r>
  <r>
    <n v="3321"/>
    <x v="90"/>
    <x v="0"/>
    <d v="2024-05-26T00:00:00"/>
    <x v="0"/>
    <n v="15"/>
    <x v="0"/>
    <x v="0"/>
    <x v="0"/>
    <x v="0"/>
    <x v="0"/>
    <n v="5"/>
    <n v="60"/>
  </r>
  <r>
    <n v="3322"/>
    <x v="91"/>
    <x v="2"/>
    <d v="2024-05-27T00:00:00"/>
    <x v="1"/>
    <n v="10"/>
    <x v="1"/>
    <x v="1"/>
    <x v="1"/>
    <x v="0"/>
    <x v="0"/>
    <n v="15"/>
    <n v="15"/>
  </r>
  <r>
    <n v="3323"/>
    <x v="92"/>
    <x v="1"/>
    <d v="2024-05-28T00:00:00"/>
    <x v="0"/>
    <n v="5"/>
    <x v="0"/>
    <x v="1"/>
    <x v="1"/>
    <x v="1"/>
    <x v="1"/>
    <n v="1"/>
    <n v="4"/>
  </r>
  <r>
    <n v="3324"/>
    <x v="93"/>
    <x v="0"/>
    <d v="2024-05-29T00:00:00"/>
    <x v="1"/>
    <n v="15"/>
    <x v="2"/>
    <x v="0"/>
    <x v="0"/>
    <x v="0"/>
    <x v="0"/>
    <n v="20"/>
    <n v="45"/>
  </r>
  <r>
    <n v="3325"/>
    <x v="94"/>
    <x v="2"/>
    <d v="2024-05-30T00:00:00"/>
    <x v="0"/>
    <n v="10"/>
    <x v="2"/>
    <x v="1"/>
    <x v="1"/>
    <x v="0"/>
    <x v="0"/>
    <n v="15"/>
    <n v="15"/>
  </r>
  <r>
    <n v="3326"/>
    <x v="95"/>
    <x v="1"/>
    <d v="2024-05-31T00:00:00"/>
    <x v="1"/>
    <n v="5"/>
    <x v="1"/>
    <x v="1"/>
    <x v="1"/>
    <x v="1"/>
    <x v="1"/>
    <n v="0"/>
    <n v="5"/>
  </r>
  <r>
    <n v="3327"/>
    <x v="96"/>
    <x v="0"/>
    <d v="2024-06-01T00:00:00"/>
    <x v="0"/>
    <n v="15"/>
    <x v="0"/>
    <x v="0"/>
    <x v="0"/>
    <x v="0"/>
    <x v="0"/>
    <n v="7"/>
    <n v="58"/>
  </r>
  <r>
    <n v="3328"/>
    <x v="97"/>
    <x v="2"/>
    <d v="2024-06-02T00:00:00"/>
    <x v="1"/>
    <n v="10"/>
    <x v="1"/>
    <x v="1"/>
    <x v="1"/>
    <x v="0"/>
    <x v="0"/>
    <n v="10"/>
    <n v="20"/>
  </r>
  <r>
    <n v="3329"/>
    <x v="98"/>
    <x v="1"/>
    <d v="2024-06-03T00:00:00"/>
    <x v="0"/>
    <n v="5"/>
    <x v="2"/>
    <x v="1"/>
    <x v="1"/>
    <x v="1"/>
    <x v="1"/>
    <n v="1"/>
    <n v="4"/>
  </r>
  <r>
    <n v="3330"/>
    <x v="99"/>
    <x v="0"/>
    <d v="2024-06-04T00:00:00"/>
    <x v="1"/>
    <n v="15"/>
    <x v="0"/>
    <x v="0"/>
    <x v="0"/>
    <x v="0"/>
    <x v="0"/>
    <n v="15"/>
    <n v="50"/>
  </r>
  <r>
    <n v="3331"/>
    <x v="100"/>
    <x v="2"/>
    <d v="2024-06-05T00:00:00"/>
    <x v="0"/>
    <n v="10"/>
    <x v="0"/>
    <x v="1"/>
    <x v="1"/>
    <x v="0"/>
    <x v="0"/>
    <n v="5"/>
    <n v="25"/>
  </r>
  <r>
    <n v="3332"/>
    <x v="101"/>
    <x v="1"/>
    <d v="2024-06-06T00:00:00"/>
    <x v="1"/>
    <n v="5"/>
    <x v="1"/>
    <x v="1"/>
    <x v="1"/>
    <x v="1"/>
    <x v="1"/>
    <n v="0"/>
    <n v="5"/>
  </r>
  <r>
    <n v="3333"/>
    <x v="102"/>
    <x v="0"/>
    <d v="2024-06-07T00:00:00"/>
    <x v="0"/>
    <n v="15"/>
    <x v="2"/>
    <x v="0"/>
    <x v="0"/>
    <x v="0"/>
    <x v="0"/>
    <n v="20"/>
    <n v="45"/>
  </r>
  <r>
    <n v="3334"/>
    <x v="103"/>
    <x v="2"/>
    <d v="2024-06-08T00:00:00"/>
    <x v="1"/>
    <n v="10"/>
    <x v="2"/>
    <x v="1"/>
    <x v="1"/>
    <x v="0"/>
    <x v="0"/>
    <n v="12"/>
    <n v="18"/>
  </r>
  <r>
    <n v="3335"/>
    <x v="104"/>
    <x v="1"/>
    <d v="2024-06-09T00:00:00"/>
    <x v="0"/>
    <n v="5"/>
    <x v="0"/>
    <x v="1"/>
    <x v="1"/>
    <x v="1"/>
    <x v="1"/>
    <n v="2"/>
    <n v="3"/>
  </r>
  <r>
    <n v="3336"/>
    <x v="105"/>
    <x v="1"/>
    <d v="2024-06-10T00:00:00"/>
    <x v="0"/>
    <n v="5"/>
    <x v="0"/>
    <x v="1"/>
    <x v="1"/>
    <x v="1"/>
    <x v="1"/>
    <n v="0"/>
    <n v="5"/>
  </r>
  <r>
    <n v="3337"/>
    <x v="106"/>
    <x v="0"/>
    <d v="2024-06-11T00:00:00"/>
    <x v="1"/>
    <n v="15"/>
    <x v="2"/>
    <x v="0"/>
    <x v="0"/>
    <x v="0"/>
    <x v="0"/>
    <n v="7"/>
    <n v="58"/>
  </r>
  <r>
    <n v="3338"/>
    <x v="107"/>
    <x v="2"/>
    <d v="2024-06-12T00:00:00"/>
    <x v="0"/>
    <n v="10"/>
    <x v="1"/>
    <x v="1"/>
    <x v="1"/>
    <x v="0"/>
    <x v="0"/>
    <n v="10"/>
    <n v="20"/>
  </r>
  <r>
    <n v="3339"/>
    <x v="108"/>
    <x v="1"/>
    <d v="2024-06-13T00:00:00"/>
    <x v="1"/>
    <n v="5"/>
    <x v="2"/>
    <x v="1"/>
    <x v="1"/>
    <x v="1"/>
    <x v="1"/>
    <n v="1"/>
    <n v="4"/>
  </r>
  <r>
    <n v="3340"/>
    <x v="109"/>
    <x v="0"/>
    <d v="2024-06-14T00:00:00"/>
    <x v="0"/>
    <n v="15"/>
    <x v="0"/>
    <x v="0"/>
    <x v="0"/>
    <x v="0"/>
    <x v="0"/>
    <n v="15"/>
    <n v="50"/>
  </r>
  <r>
    <n v="3341"/>
    <x v="110"/>
    <x v="2"/>
    <d v="2024-06-15T00:00:00"/>
    <x v="1"/>
    <n v="10"/>
    <x v="0"/>
    <x v="1"/>
    <x v="1"/>
    <x v="0"/>
    <x v="0"/>
    <n v="5"/>
    <n v="25"/>
  </r>
  <r>
    <n v="3342"/>
    <x v="111"/>
    <x v="1"/>
    <d v="2024-06-16T00:00:00"/>
    <x v="0"/>
    <n v="5"/>
    <x v="1"/>
    <x v="1"/>
    <x v="1"/>
    <x v="1"/>
    <x v="1"/>
    <n v="0"/>
    <n v="5"/>
  </r>
  <r>
    <n v="3343"/>
    <x v="112"/>
    <x v="0"/>
    <d v="2024-06-17T00:00:00"/>
    <x v="1"/>
    <n v="15"/>
    <x v="2"/>
    <x v="0"/>
    <x v="0"/>
    <x v="0"/>
    <x v="0"/>
    <n v="20"/>
    <n v="45"/>
  </r>
  <r>
    <n v="3344"/>
    <x v="113"/>
    <x v="2"/>
    <d v="2024-06-18T00:00:00"/>
    <x v="0"/>
    <n v="10"/>
    <x v="2"/>
    <x v="1"/>
    <x v="1"/>
    <x v="0"/>
    <x v="0"/>
    <n v="12"/>
    <n v="18"/>
  </r>
  <r>
    <n v="3345"/>
    <x v="114"/>
    <x v="1"/>
    <d v="2024-06-19T00:00:00"/>
    <x v="1"/>
    <n v="5"/>
    <x v="0"/>
    <x v="1"/>
    <x v="1"/>
    <x v="1"/>
    <x v="1"/>
    <n v="2"/>
    <n v="3"/>
  </r>
  <r>
    <n v="3346"/>
    <x v="115"/>
    <x v="0"/>
    <d v="2024-06-20T00:00:00"/>
    <x v="0"/>
    <n v="15"/>
    <x v="1"/>
    <x v="0"/>
    <x v="0"/>
    <x v="0"/>
    <x v="0"/>
    <n v="5"/>
    <n v="60"/>
  </r>
  <r>
    <n v="3347"/>
    <x v="116"/>
    <x v="2"/>
    <d v="2024-06-21T00:00:00"/>
    <x v="1"/>
    <n v="10"/>
    <x v="0"/>
    <x v="1"/>
    <x v="1"/>
    <x v="0"/>
    <x v="0"/>
    <n v="10"/>
    <n v="20"/>
  </r>
  <r>
    <n v="3348"/>
    <x v="117"/>
    <x v="1"/>
    <d v="2024-06-22T00:00:00"/>
    <x v="0"/>
    <n v="5"/>
    <x v="2"/>
    <x v="1"/>
    <x v="1"/>
    <x v="1"/>
    <x v="1"/>
    <n v="0"/>
    <n v="5"/>
  </r>
  <r>
    <n v="3349"/>
    <x v="93"/>
    <x v="0"/>
    <d v="2024-06-23T00:00:00"/>
    <x v="1"/>
    <n v="15"/>
    <x v="0"/>
    <x v="0"/>
    <x v="0"/>
    <x v="0"/>
    <x v="0"/>
    <n v="3"/>
    <n v="62"/>
  </r>
  <r>
    <n v="3350"/>
    <x v="118"/>
    <x v="2"/>
    <d v="2024-06-24T00:00:00"/>
    <x v="0"/>
    <n v="10"/>
    <x v="1"/>
    <x v="1"/>
    <x v="1"/>
    <x v="0"/>
    <x v="0"/>
    <n v="15"/>
    <n v="15"/>
  </r>
  <r>
    <n v="3351"/>
    <x v="119"/>
    <x v="1"/>
    <d v="2024-06-25T00:00:00"/>
    <x v="1"/>
    <n v="5"/>
    <x v="0"/>
    <x v="1"/>
    <x v="1"/>
    <x v="1"/>
    <x v="1"/>
    <n v="1"/>
    <n v="4"/>
  </r>
  <r>
    <n v="3352"/>
    <x v="120"/>
    <x v="0"/>
    <d v="2024-06-26T00:00:00"/>
    <x v="0"/>
    <n v="15"/>
    <x v="2"/>
    <x v="0"/>
    <x v="0"/>
    <x v="0"/>
    <x v="0"/>
    <n v="7"/>
    <n v="58"/>
  </r>
  <r>
    <n v="3353"/>
    <x v="121"/>
    <x v="2"/>
    <d v="2024-06-27T00:00:00"/>
    <x v="1"/>
    <n v="10"/>
    <x v="0"/>
    <x v="1"/>
    <x v="1"/>
    <x v="0"/>
    <x v="0"/>
    <n v="10"/>
    <n v="20"/>
  </r>
  <r>
    <n v="3354"/>
    <x v="122"/>
    <x v="1"/>
    <d v="2024-06-28T00:00:00"/>
    <x v="0"/>
    <n v="5"/>
    <x v="1"/>
    <x v="1"/>
    <x v="1"/>
    <x v="1"/>
    <x v="1"/>
    <n v="0"/>
    <n v="5"/>
  </r>
  <r>
    <n v="3355"/>
    <x v="123"/>
    <x v="0"/>
    <d v="2024-06-29T00:00:00"/>
    <x v="1"/>
    <n v="15"/>
    <x v="0"/>
    <x v="0"/>
    <x v="0"/>
    <x v="0"/>
    <x v="0"/>
    <n v="20"/>
    <n v="45"/>
  </r>
  <r>
    <n v="3356"/>
    <x v="124"/>
    <x v="2"/>
    <d v="2024-06-30T00:00:00"/>
    <x v="0"/>
    <n v="10"/>
    <x v="2"/>
    <x v="1"/>
    <x v="1"/>
    <x v="0"/>
    <x v="0"/>
    <n v="15"/>
    <n v="15"/>
  </r>
  <r>
    <n v="3357"/>
    <x v="50"/>
    <x v="1"/>
    <d v="2024-07-01T00:00:00"/>
    <x v="1"/>
    <n v="5"/>
    <x v="0"/>
    <x v="1"/>
    <x v="1"/>
    <x v="1"/>
    <x v="1"/>
    <n v="1"/>
    <n v="4"/>
  </r>
  <r>
    <n v="3358"/>
    <x v="125"/>
    <x v="0"/>
    <d v="2024-07-02T00:00:00"/>
    <x v="0"/>
    <n v="15"/>
    <x v="1"/>
    <x v="0"/>
    <x v="0"/>
    <x v="0"/>
    <x v="0"/>
    <n v="3"/>
    <n v="62"/>
  </r>
  <r>
    <n v="3359"/>
    <x v="126"/>
    <x v="2"/>
    <d v="2024-07-03T00:00:00"/>
    <x v="1"/>
    <n v="10"/>
    <x v="0"/>
    <x v="1"/>
    <x v="1"/>
    <x v="0"/>
    <x v="0"/>
    <n v="10"/>
    <n v="20"/>
  </r>
  <r>
    <n v="3360"/>
    <x v="127"/>
    <x v="1"/>
    <d v="2024-07-04T00:00:00"/>
    <x v="0"/>
    <n v="5"/>
    <x v="2"/>
    <x v="1"/>
    <x v="1"/>
    <x v="1"/>
    <x v="1"/>
    <n v="0"/>
    <n v="5"/>
  </r>
  <r>
    <n v="3361"/>
    <x v="128"/>
    <x v="0"/>
    <d v="2024-07-05T00:00:00"/>
    <x v="1"/>
    <n v="15"/>
    <x v="0"/>
    <x v="0"/>
    <x v="0"/>
    <x v="0"/>
    <x v="0"/>
    <n v="15"/>
    <n v="50"/>
  </r>
  <r>
    <n v="3362"/>
    <x v="129"/>
    <x v="2"/>
    <d v="2024-07-06T00:00:00"/>
    <x v="0"/>
    <n v="10"/>
    <x v="1"/>
    <x v="1"/>
    <x v="1"/>
    <x v="0"/>
    <x v="0"/>
    <n v="15"/>
    <n v="15"/>
  </r>
  <r>
    <n v="3363"/>
    <x v="130"/>
    <x v="1"/>
    <d v="2024-07-07T00:00:00"/>
    <x v="1"/>
    <n v="5"/>
    <x v="0"/>
    <x v="1"/>
    <x v="1"/>
    <x v="1"/>
    <x v="1"/>
    <n v="1"/>
    <n v="4"/>
  </r>
  <r>
    <n v="3364"/>
    <x v="131"/>
    <x v="0"/>
    <d v="2024-07-08T00:00:00"/>
    <x v="0"/>
    <n v="15"/>
    <x v="2"/>
    <x v="0"/>
    <x v="0"/>
    <x v="0"/>
    <x v="0"/>
    <n v="7"/>
    <n v="58"/>
  </r>
  <r>
    <n v="3365"/>
    <x v="132"/>
    <x v="2"/>
    <d v="2024-07-09T00:00:00"/>
    <x v="1"/>
    <n v="10"/>
    <x v="0"/>
    <x v="1"/>
    <x v="1"/>
    <x v="0"/>
    <x v="0"/>
    <n v="10"/>
    <n v="20"/>
  </r>
  <r>
    <n v="3366"/>
    <x v="133"/>
    <x v="1"/>
    <d v="2024-07-10T00:00:00"/>
    <x v="0"/>
    <n v="5"/>
    <x v="0"/>
    <x v="1"/>
    <x v="1"/>
    <x v="1"/>
    <x v="1"/>
    <n v="0"/>
    <n v="5"/>
  </r>
  <r>
    <n v="3367"/>
    <x v="134"/>
    <x v="0"/>
    <d v="2024-07-11T00:00:00"/>
    <x v="1"/>
    <n v="15"/>
    <x v="2"/>
    <x v="0"/>
    <x v="0"/>
    <x v="0"/>
    <x v="0"/>
    <n v="7"/>
    <n v="58"/>
  </r>
  <r>
    <n v="3368"/>
    <x v="135"/>
    <x v="2"/>
    <d v="2024-07-12T00:00:00"/>
    <x v="0"/>
    <n v="10"/>
    <x v="1"/>
    <x v="1"/>
    <x v="1"/>
    <x v="0"/>
    <x v="0"/>
    <n v="10"/>
    <n v="20"/>
  </r>
  <r>
    <n v="3369"/>
    <x v="136"/>
    <x v="1"/>
    <d v="2024-07-13T00:00:00"/>
    <x v="1"/>
    <n v="5"/>
    <x v="2"/>
    <x v="1"/>
    <x v="1"/>
    <x v="1"/>
    <x v="1"/>
    <n v="1"/>
    <n v="4"/>
  </r>
  <r>
    <n v="3370"/>
    <x v="137"/>
    <x v="0"/>
    <d v="2024-07-14T00:00:00"/>
    <x v="0"/>
    <n v="15"/>
    <x v="0"/>
    <x v="0"/>
    <x v="0"/>
    <x v="0"/>
    <x v="0"/>
    <n v="15"/>
    <n v="50"/>
  </r>
  <r>
    <n v="3371"/>
    <x v="138"/>
    <x v="2"/>
    <d v="2024-07-15T00:00:00"/>
    <x v="1"/>
    <n v="10"/>
    <x v="0"/>
    <x v="1"/>
    <x v="1"/>
    <x v="0"/>
    <x v="0"/>
    <n v="5"/>
    <n v="25"/>
  </r>
  <r>
    <n v="3372"/>
    <x v="139"/>
    <x v="1"/>
    <d v="2024-07-16T00:00:00"/>
    <x v="0"/>
    <n v="5"/>
    <x v="1"/>
    <x v="1"/>
    <x v="1"/>
    <x v="1"/>
    <x v="1"/>
    <n v="0"/>
    <n v="5"/>
  </r>
  <r>
    <n v="3373"/>
    <x v="140"/>
    <x v="0"/>
    <d v="2024-07-17T00:00:00"/>
    <x v="1"/>
    <n v="15"/>
    <x v="2"/>
    <x v="0"/>
    <x v="0"/>
    <x v="0"/>
    <x v="0"/>
    <n v="20"/>
    <n v="45"/>
  </r>
  <r>
    <n v="3374"/>
    <x v="141"/>
    <x v="2"/>
    <d v="2024-07-18T00:00:00"/>
    <x v="0"/>
    <n v="10"/>
    <x v="2"/>
    <x v="1"/>
    <x v="1"/>
    <x v="0"/>
    <x v="0"/>
    <n v="12"/>
    <n v="18"/>
  </r>
  <r>
    <n v="3375"/>
    <x v="142"/>
    <x v="1"/>
    <d v="2024-07-19T00:00:00"/>
    <x v="1"/>
    <n v="5"/>
    <x v="0"/>
    <x v="1"/>
    <x v="1"/>
    <x v="1"/>
    <x v="1"/>
    <n v="2"/>
    <n v="3"/>
  </r>
  <r>
    <n v="3376"/>
    <x v="143"/>
    <x v="0"/>
    <d v="2024-07-20T00:00:00"/>
    <x v="0"/>
    <n v="15"/>
    <x v="1"/>
    <x v="0"/>
    <x v="0"/>
    <x v="0"/>
    <x v="0"/>
    <n v="5"/>
    <n v="60"/>
  </r>
  <r>
    <n v="3377"/>
    <x v="144"/>
    <x v="2"/>
    <d v="2024-07-21T00:00:00"/>
    <x v="1"/>
    <n v="10"/>
    <x v="0"/>
    <x v="1"/>
    <x v="1"/>
    <x v="0"/>
    <x v="0"/>
    <n v="10"/>
    <n v="20"/>
  </r>
  <r>
    <n v="3378"/>
    <x v="145"/>
    <x v="1"/>
    <d v="2024-07-22T00:00:00"/>
    <x v="0"/>
    <n v="5"/>
    <x v="2"/>
    <x v="1"/>
    <x v="1"/>
    <x v="1"/>
    <x v="1"/>
    <n v="0"/>
    <n v="5"/>
  </r>
  <r>
    <n v="3379"/>
    <x v="146"/>
    <x v="0"/>
    <d v="2024-07-23T00:00:00"/>
    <x v="1"/>
    <n v="15"/>
    <x v="0"/>
    <x v="0"/>
    <x v="0"/>
    <x v="0"/>
    <x v="0"/>
    <n v="3"/>
    <n v="62"/>
  </r>
  <r>
    <n v="3380"/>
    <x v="147"/>
    <x v="2"/>
    <d v="2024-07-24T00:00:00"/>
    <x v="0"/>
    <n v="10"/>
    <x v="1"/>
    <x v="1"/>
    <x v="1"/>
    <x v="0"/>
    <x v="0"/>
    <n v="15"/>
    <n v="15"/>
  </r>
  <r>
    <n v="3381"/>
    <x v="148"/>
    <x v="1"/>
    <d v="2024-07-25T00:00:00"/>
    <x v="1"/>
    <n v="5"/>
    <x v="0"/>
    <x v="1"/>
    <x v="1"/>
    <x v="1"/>
    <x v="1"/>
    <n v="1"/>
    <n v="4"/>
  </r>
  <r>
    <n v="3382"/>
    <x v="149"/>
    <x v="0"/>
    <d v="2024-07-26T00:00:00"/>
    <x v="0"/>
    <n v="15"/>
    <x v="2"/>
    <x v="0"/>
    <x v="0"/>
    <x v="0"/>
    <x v="0"/>
    <n v="7"/>
    <n v="58"/>
  </r>
  <r>
    <n v="3383"/>
    <x v="150"/>
    <x v="2"/>
    <d v="2024-07-27T00:00:00"/>
    <x v="1"/>
    <n v="10"/>
    <x v="0"/>
    <x v="1"/>
    <x v="1"/>
    <x v="0"/>
    <x v="0"/>
    <n v="10"/>
    <n v="20"/>
  </r>
  <r>
    <n v="3384"/>
    <x v="151"/>
    <x v="1"/>
    <d v="2024-07-28T00:00:00"/>
    <x v="0"/>
    <n v="5"/>
    <x v="1"/>
    <x v="1"/>
    <x v="1"/>
    <x v="1"/>
    <x v="1"/>
    <n v="0"/>
    <n v="5"/>
  </r>
  <r>
    <n v="3385"/>
    <x v="152"/>
    <x v="0"/>
    <d v="2024-07-29T00:00:00"/>
    <x v="1"/>
    <n v="15"/>
    <x v="0"/>
    <x v="0"/>
    <x v="0"/>
    <x v="0"/>
    <x v="0"/>
    <n v="20"/>
    <n v="45"/>
  </r>
  <r>
    <n v="3386"/>
    <x v="153"/>
    <x v="2"/>
    <d v="2024-07-30T00:00:00"/>
    <x v="0"/>
    <n v="10"/>
    <x v="2"/>
    <x v="1"/>
    <x v="1"/>
    <x v="0"/>
    <x v="0"/>
    <n v="15"/>
    <n v="15"/>
  </r>
  <r>
    <n v="3387"/>
    <x v="154"/>
    <x v="1"/>
    <d v="2024-07-31T00:00:00"/>
    <x v="1"/>
    <n v="5"/>
    <x v="0"/>
    <x v="1"/>
    <x v="1"/>
    <x v="1"/>
    <x v="1"/>
    <n v="1"/>
    <n v="4"/>
  </r>
  <r>
    <n v="3388"/>
    <x v="155"/>
    <x v="0"/>
    <d v="2024-08-01T00:00:00"/>
    <x v="0"/>
    <n v="15"/>
    <x v="1"/>
    <x v="0"/>
    <x v="0"/>
    <x v="0"/>
    <x v="0"/>
    <n v="3"/>
    <n v="62"/>
  </r>
  <r>
    <n v="3389"/>
    <x v="156"/>
    <x v="2"/>
    <d v="2024-08-02T00:00:00"/>
    <x v="1"/>
    <n v="10"/>
    <x v="0"/>
    <x v="1"/>
    <x v="1"/>
    <x v="0"/>
    <x v="0"/>
    <n v="10"/>
    <n v="20"/>
  </r>
  <r>
    <n v="3390"/>
    <x v="157"/>
    <x v="1"/>
    <d v="2024-08-03T00:00:00"/>
    <x v="0"/>
    <n v="5"/>
    <x v="2"/>
    <x v="1"/>
    <x v="1"/>
    <x v="1"/>
    <x v="1"/>
    <n v="0"/>
    <n v="5"/>
  </r>
  <r>
    <n v="3391"/>
    <x v="58"/>
    <x v="0"/>
    <d v="2024-08-04T00:00:00"/>
    <x v="1"/>
    <n v="15"/>
    <x v="0"/>
    <x v="0"/>
    <x v="0"/>
    <x v="0"/>
    <x v="0"/>
    <n v="15"/>
    <n v="50"/>
  </r>
  <r>
    <n v="3392"/>
    <x v="158"/>
    <x v="2"/>
    <d v="2024-08-05T00:00:00"/>
    <x v="0"/>
    <n v="10"/>
    <x v="1"/>
    <x v="1"/>
    <x v="1"/>
    <x v="0"/>
    <x v="0"/>
    <n v="15"/>
    <n v="15"/>
  </r>
  <r>
    <n v="3393"/>
    <x v="159"/>
    <x v="1"/>
    <d v="2024-08-06T00:00:00"/>
    <x v="1"/>
    <n v="5"/>
    <x v="0"/>
    <x v="1"/>
    <x v="1"/>
    <x v="1"/>
    <x v="1"/>
    <n v="1"/>
    <n v="4"/>
  </r>
  <r>
    <n v="3394"/>
    <x v="160"/>
    <x v="0"/>
    <d v="2024-08-07T00:00:00"/>
    <x v="0"/>
    <n v="15"/>
    <x v="2"/>
    <x v="0"/>
    <x v="0"/>
    <x v="0"/>
    <x v="0"/>
    <n v="7"/>
    <n v="58"/>
  </r>
  <r>
    <n v="3395"/>
    <x v="161"/>
    <x v="2"/>
    <d v="2024-08-08T00:00:00"/>
    <x v="1"/>
    <n v="10"/>
    <x v="0"/>
    <x v="1"/>
    <x v="1"/>
    <x v="0"/>
    <x v="0"/>
    <n v="10"/>
    <n v="20"/>
  </r>
  <r>
    <n v="3396"/>
    <x v="162"/>
    <x v="1"/>
    <d v="2024-08-09T00:00:00"/>
    <x v="0"/>
    <n v="5"/>
    <x v="1"/>
    <x v="1"/>
    <x v="1"/>
    <x v="1"/>
    <x v="1"/>
    <n v="0"/>
    <n v="5"/>
  </r>
  <r>
    <n v="3397"/>
    <x v="90"/>
    <x v="0"/>
    <d v="2024-08-10T00:00:00"/>
    <x v="1"/>
    <n v="15"/>
    <x v="0"/>
    <x v="0"/>
    <x v="0"/>
    <x v="0"/>
    <x v="0"/>
    <n v="20"/>
    <n v="45"/>
  </r>
  <r>
    <n v="3398"/>
    <x v="163"/>
    <x v="2"/>
    <d v="2024-08-11T00:00:00"/>
    <x v="0"/>
    <n v="10"/>
    <x v="2"/>
    <x v="1"/>
    <x v="1"/>
    <x v="0"/>
    <x v="0"/>
    <n v="15"/>
    <n v="15"/>
  </r>
  <r>
    <n v="3399"/>
    <x v="164"/>
    <x v="1"/>
    <d v="2024-08-12T00:00:00"/>
    <x v="1"/>
    <n v="5"/>
    <x v="0"/>
    <x v="1"/>
    <x v="1"/>
    <x v="1"/>
    <x v="1"/>
    <n v="1"/>
    <n v="4"/>
  </r>
  <r>
    <n v="3400"/>
    <x v="165"/>
    <x v="0"/>
    <d v="2024-08-13T00:00:00"/>
    <x v="0"/>
    <n v="15"/>
    <x v="1"/>
    <x v="0"/>
    <x v="0"/>
    <x v="0"/>
    <x v="0"/>
    <n v="5"/>
    <n v="60"/>
  </r>
  <r>
    <n v="3401"/>
    <x v="166"/>
    <x v="2"/>
    <d v="2024-08-14T00:00:00"/>
    <x v="1"/>
    <n v="10"/>
    <x v="0"/>
    <x v="1"/>
    <x v="1"/>
    <x v="0"/>
    <x v="0"/>
    <n v="10"/>
    <n v="20"/>
  </r>
  <r>
    <n v="3402"/>
    <x v="167"/>
    <x v="1"/>
    <d v="2024-08-15T00:00:00"/>
    <x v="0"/>
    <n v="5"/>
    <x v="2"/>
    <x v="1"/>
    <x v="1"/>
    <x v="1"/>
    <x v="1"/>
    <n v="0"/>
    <n v="5"/>
  </r>
  <r>
    <n v="3403"/>
    <x v="168"/>
    <x v="0"/>
    <d v="2024-08-16T00:00:00"/>
    <x v="1"/>
    <n v="15"/>
    <x v="0"/>
    <x v="0"/>
    <x v="0"/>
    <x v="0"/>
    <x v="0"/>
    <n v="3"/>
    <n v="62"/>
  </r>
  <r>
    <n v="3404"/>
    <x v="169"/>
    <x v="2"/>
    <d v="2024-08-17T00:00:00"/>
    <x v="0"/>
    <n v="10"/>
    <x v="1"/>
    <x v="1"/>
    <x v="1"/>
    <x v="0"/>
    <x v="0"/>
    <n v="15"/>
    <n v="15"/>
  </r>
  <r>
    <n v="3405"/>
    <x v="170"/>
    <x v="1"/>
    <d v="2024-08-18T00:00:00"/>
    <x v="1"/>
    <n v="5"/>
    <x v="0"/>
    <x v="1"/>
    <x v="1"/>
    <x v="1"/>
    <x v="1"/>
    <n v="1"/>
    <n v="4"/>
  </r>
  <r>
    <n v="3406"/>
    <x v="171"/>
    <x v="1"/>
    <d v="2024-08-19T00:00:00"/>
    <x v="0"/>
    <n v="5"/>
    <x v="0"/>
    <x v="1"/>
    <x v="1"/>
    <x v="1"/>
    <x v="1"/>
    <n v="0"/>
    <n v="5"/>
  </r>
  <r>
    <n v="3407"/>
    <x v="172"/>
    <x v="0"/>
    <d v="2024-08-20T00:00:00"/>
    <x v="1"/>
    <n v="15"/>
    <x v="2"/>
    <x v="0"/>
    <x v="0"/>
    <x v="0"/>
    <x v="0"/>
    <n v="7"/>
    <n v="58"/>
  </r>
  <r>
    <n v="3408"/>
    <x v="173"/>
    <x v="2"/>
    <d v="2024-08-21T00:00:00"/>
    <x v="0"/>
    <n v="10"/>
    <x v="1"/>
    <x v="1"/>
    <x v="1"/>
    <x v="0"/>
    <x v="0"/>
    <n v="10"/>
    <n v="20"/>
  </r>
  <r>
    <n v="3409"/>
    <x v="174"/>
    <x v="1"/>
    <d v="2024-08-22T00:00:00"/>
    <x v="1"/>
    <n v="5"/>
    <x v="2"/>
    <x v="1"/>
    <x v="1"/>
    <x v="1"/>
    <x v="1"/>
    <n v="1"/>
    <n v="4"/>
  </r>
  <r>
    <n v="3410"/>
    <x v="175"/>
    <x v="0"/>
    <d v="2024-08-23T00:00:00"/>
    <x v="0"/>
    <n v="15"/>
    <x v="0"/>
    <x v="0"/>
    <x v="0"/>
    <x v="0"/>
    <x v="0"/>
    <n v="15"/>
    <n v="50"/>
  </r>
  <r>
    <n v="3411"/>
    <x v="176"/>
    <x v="2"/>
    <d v="2024-08-24T00:00:00"/>
    <x v="1"/>
    <n v="10"/>
    <x v="0"/>
    <x v="1"/>
    <x v="1"/>
    <x v="0"/>
    <x v="0"/>
    <n v="5"/>
    <n v="25"/>
  </r>
  <r>
    <n v="3412"/>
    <x v="177"/>
    <x v="1"/>
    <d v="2024-08-25T00:00:00"/>
    <x v="0"/>
    <n v="5"/>
    <x v="1"/>
    <x v="1"/>
    <x v="1"/>
    <x v="1"/>
    <x v="1"/>
    <n v="0"/>
    <n v="5"/>
  </r>
  <r>
    <n v="3413"/>
    <x v="178"/>
    <x v="0"/>
    <d v="2024-08-26T00:00:00"/>
    <x v="1"/>
    <n v="15"/>
    <x v="2"/>
    <x v="0"/>
    <x v="0"/>
    <x v="0"/>
    <x v="0"/>
    <n v="20"/>
    <n v="45"/>
  </r>
  <r>
    <n v="3414"/>
    <x v="179"/>
    <x v="2"/>
    <d v="2024-08-27T00:00:00"/>
    <x v="0"/>
    <n v="10"/>
    <x v="2"/>
    <x v="1"/>
    <x v="1"/>
    <x v="0"/>
    <x v="0"/>
    <n v="12"/>
    <n v="18"/>
  </r>
  <r>
    <n v="3415"/>
    <x v="180"/>
    <x v="1"/>
    <d v="2024-08-28T00:00:00"/>
    <x v="1"/>
    <n v="5"/>
    <x v="0"/>
    <x v="1"/>
    <x v="1"/>
    <x v="1"/>
    <x v="1"/>
    <n v="2"/>
    <n v="3"/>
  </r>
  <r>
    <n v="3416"/>
    <x v="181"/>
    <x v="0"/>
    <d v="2024-08-29T00:00:00"/>
    <x v="0"/>
    <n v="15"/>
    <x v="1"/>
    <x v="0"/>
    <x v="0"/>
    <x v="0"/>
    <x v="0"/>
    <n v="5"/>
    <n v="60"/>
  </r>
  <r>
    <n v="3417"/>
    <x v="182"/>
    <x v="2"/>
    <d v="2024-08-30T00:00:00"/>
    <x v="1"/>
    <n v="10"/>
    <x v="0"/>
    <x v="1"/>
    <x v="1"/>
    <x v="0"/>
    <x v="0"/>
    <n v="10"/>
    <n v="20"/>
  </r>
  <r>
    <n v="3418"/>
    <x v="183"/>
    <x v="1"/>
    <d v="2024-08-31T00:00:00"/>
    <x v="0"/>
    <n v="5"/>
    <x v="2"/>
    <x v="1"/>
    <x v="1"/>
    <x v="1"/>
    <x v="1"/>
    <n v="0"/>
    <n v="5"/>
  </r>
  <r>
    <n v="3419"/>
    <x v="184"/>
    <x v="0"/>
    <d v="2024-09-01T00:00:00"/>
    <x v="1"/>
    <n v="15"/>
    <x v="0"/>
    <x v="0"/>
    <x v="0"/>
    <x v="0"/>
    <x v="0"/>
    <n v="3"/>
    <n v="62"/>
  </r>
  <r>
    <n v="3420"/>
    <x v="185"/>
    <x v="2"/>
    <d v="2024-09-02T00:00:00"/>
    <x v="0"/>
    <n v="10"/>
    <x v="1"/>
    <x v="1"/>
    <x v="1"/>
    <x v="0"/>
    <x v="0"/>
    <n v="15"/>
    <n v="15"/>
  </r>
  <r>
    <n v="3421"/>
    <x v="15"/>
    <x v="1"/>
    <d v="2024-09-03T00:00:00"/>
    <x v="1"/>
    <n v="5"/>
    <x v="0"/>
    <x v="1"/>
    <x v="1"/>
    <x v="1"/>
    <x v="1"/>
    <n v="1"/>
    <n v="4"/>
  </r>
  <r>
    <n v="3422"/>
    <x v="186"/>
    <x v="0"/>
    <d v="2024-09-04T00:00:00"/>
    <x v="0"/>
    <n v="15"/>
    <x v="2"/>
    <x v="0"/>
    <x v="0"/>
    <x v="0"/>
    <x v="0"/>
    <n v="7"/>
    <n v="58"/>
  </r>
  <r>
    <n v="3423"/>
    <x v="187"/>
    <x v="2"/>
    <d v="2024-09-05T00:00:00"/>
    <x v="1"/>
    <n v="10"/>
    <x v="0"/>
    <x v="1"/>
    <x v="1"/>
    <x v="0"/>
    <x v="0"/>
    <n v="10"/>
    <n v="20"/>
  </r>
  <r>
    <n v="3424"/>
    <x v="14"/>
    <x v="1"/>
    <d v="2024-09-06T00:00:00"/>
    <x v="0"/>
    <n v="5"/>
    <x v="1"/>
    <x v="1"/>
    <x v="1"/>
    <x v="1"/>
    <x v="1"/>
    <n v="0"/>
    <n v="5"/>
  </r>
  <r>
    <n v="3425"/>
    <x v="188"/>
    <x v="0"/>
    <d v="2024-09-07T00:00:00"/>
    <x v="1"/>
    <n v="15"/>
    <x v="0"/>
    <x v="0"/>
    <x v="0"/>
    <x v="0"/>
    <x v="0"/>
    <n v="20"/>
    <n v="45"/>
  </r>
  <r>
    <n v="3426"/>
    <x v="166"/>
    <x v="2"/>
    <d v="2024-09-08T00:00:00"/>
    <x v="0"/>
    <n v="10"/>
    <x v="2"/>
    <x v="1"/>
    <x v="1"/>
    <x v="0"/>
    <x v="0"/>
    <n v="15"/>
    <n v="15"/>
  </r>
  <r>
    <n v="3427"/>
    <x v="189"/>
    <x v="1"/>
    <d v="2024-09-09T00:00:00"/>
    <x v="1"/>
    <n v="5"/>
    <x v="0"/>
    <x v="1"/>
    <x v="1"/>
    <x v="1"/>
    <x v="1"/>
    <n v="1"/>
    <n v="4"/>
  </r>
  <r>
    <n v="3428"/>
    <x v="190"/>
    <x v="0"/>
    <d v="2024-09-10T00:00:00"/>
    <x v="0"/>
    <n v="15"/>
    <x v="1"/>
    <x v="0"/>
    <x v="0"/>
    <x v="0"/>
    <x v="0"/>
    <n v="3"/>
    <n v="62"/>
  </r>
  <r>
    <n v="3429"/>
    <x v="191"/>
    <x v="2"/>
    <d v="2024-09-11T00:00:00"/>
    <x v="1"/>
    <n v="10"/>
    <x v="0"/>
    <x v="1"/>
    <x v="1"/>
    <x v="0"/>
    <x v="0"/>
    <n v="10"/>
    <n v="20"/>
  </r>
  <r>
    <n v="3430"/>
    <x v="192"/>
    <x v="1"/>
    <d v="2024-09-12T00:00:00"/>
    <x v="0"/>
    <n v="5"/>
    <x v="2"/>
    <x v="1"/>
    <x v="1"/>
    <x v="1"/>
    <x v="1"/>
    <n v="0"/>
    <n v="5"/>
  </r>
  <r>
    <n v="3431"/>
    <x v="193"/>
    <x v="0"/>
    <d v="2024-09-13T00:00:00"/>
    <x v="1"/>
    <n v="15"/>
    <x v="0"/>
    <x v="0"/>
    <x v="0"/>
    <x v="0"/>
    <x v="0"/>
    <n v="15"/>
    <n v="50"/>
  </r>
  <r>
    <n v="3432"/>
    <x v="194"/>
    <x v="2"/>
    <d v="2024-09-14T00:00:00"/>
    <x v="0"/>
    <n v="10"/>
    <x v="1"/>
    <x v="1"/>
    <x v="1"/>
    <x v="0"/>
    <x v="0"/>
    <n v="15"/>
    <n v="15"/>
  </r>
  <r>
    <n v="3433"/>
    <x v="195"/>
    <x v="1"/>
    <d v="2024-09-15T00:00:00"/>
    <x v="1"/>
    <n v="5"/>
    <x v="0"/>
    <x v="1"/>
    <x v="1"/>
    <x v="1"/>
    <x v="1"/>
    <n v="1"/>
    <n v="4"/>
  </r>
  <r>
    <n v="3434"/>
    <x v="196"/>
    <x v="0"/>
    <d v="2024-09-16T00:00:00"/>
    <x v="0"/>
    <n v="15"/>
    <x v="2"/>
    <x v="0"/>
    <x v="0"/>
    <x v="0"/>
    <x v="0"/>
    <n v="7"/>
    <n v="58"/>
  </r>
  <r>
    <n v="3435"/>
    <x v="197"/>
    <x v="2"/>
    <d v="2024-09-17T00:00:00"/>
    <x v="1"/>
    <n v="10"/>
    <x v="0"/>
    <x v="1"/>
    <x v="1"/>
    <x v="0"/>
    <x v="0"/>
    <n v="10"/>
    <n v="20"/>
  </r>
  <r>
    <n v="3436"/>
    <x v="198"/>
    <x v="1"/>
    <d v="2024-09-18T00:00:00"/>
    <x v="0"/>
    <n v="5"/>
    <x v="0"/>
    <x v="1"/>
    <x v="1"/>
    <x v="1"/>
    <x v="1"/>
    <n v="0"/>
    <n v="5"/>
  </r>
  <r>
    <n v="3437"/>
    <x v="199"/>
    <x v="0"/>
    <d v="2024-09-19T00:00:00"/>
    <x v="1"/>
    <n v="15"/>
    <x v="2"/>
    <x v="0"/>
    <x v="0"/>
    <x v="0"/>
    <x v="0"/>
    <n v="7"/>
    <n v="58"/>
  </r>
  <r>
    <n v="3438"/>
    <x v="200"/>
    <x v="2"/>
    <d v="2024-09-20T00:00:00"/>
    <x v="0"/>
    <n v="10"/>
    <x v="1"/>
    <x v="1"/>
    <x v="1"/>
    <x v="0"/>
    <x v="0"/>
    <n v="10"/>
    <n v="20"/>
  </r>
  <r>
    <n v="3439"/>
    <x v="201"/>
    <x v="1"/>
    <d v="2024-09-21T00:00:00"/>
    <x v="1"/>
    <n v="5"/>
    <x v="2"/>
    <x v="1"/>
    <x v="1"/>
    <x v="1"/>
    <x v="1"/>
    <n v="1"/>
    <n v="4"/>
  </r>
  <r>
    <n v="3440"/>
    <x v="202"/>
    <x v="0"/>
    <d v="2024-09-22T00:00:00"/>
    <x v="0"/>
    <n v="15"/>
    <x v="0"/>
    <x v="0"/>
    <x v="0"/>
    <x v="0"/>
    <x v="0"/>
    <n v="15"/>
    <n v="50"/>
  </r>
  <r>
    <n v="3441"/>
    <x v="203"/>
    <x v="2"/>
    <d v="2024-09-23T00:00:00"/>
    <x v="1"/>
    <n v="10"/>
    <x v="0"/>
    <x v="1"/>
    <x v="1"/>
    <x v="0"/>
    <x v="0"/>
    <n v="5"/>
    <n v="25"/>
  </r>
  <r>
    <n v="3442"/>
    <x v="204"/>
    <x v="1"/>
    <d v="2024-09-24T00:00:00"/>
    <x v="0"/>
    <n v="5"/>
    <x v="1"/>
    <x v="1"/>
    <x v="1"/>
    <x v="1"/>
    <x v="1"/>
    <n v="0"/>
    <n v="5"/>
  </r>
  <r>
    <n v="3443"/>
    <x v="205"/>
    <x v="0"/>
    <d v="2024-09-25T00:00:00"/>
    <x v="1"/>
    <n v="15"/>
    <x v="2"/>
    <x v="0"/>
    <x v="0"/>
    <x v="0"/>
    <x v="0"/>
    <n v="20"/>
    <n v="45"/>
  </r>
  <r>
    <n v="3444"/>
    <x v="206"/>
    <x v="2"/>
    <d v="2024-09-26T00:00:00"/>
    <x v="0"/>
    <n v="10"/>
    <x v="2"/>
    <x v="1"/>
    <x v="1"/>
    <x v="0"/>
    <x v="0"/>
    <n v="12"/>
    <n v="18"/>
  </r>
  <r>
    <n v="3445"/>
    <x v="37"/>
    <x v="1"/>
    <d v="2024-09-27T00:00:00"/>
    <x v="1"/>
    <n v="5"/>
    <x v="0"/>
    <x v="1"/>
    <x v="1"/>
    <x v="1"/>
    <x v="1"/>
    <n v="2"/>
    <n v="3"/>
  </r>
  <r>
    <n v="3446"/>
    <x v="207"/>
    <x v="0"/>
    <d v="2024-09-28T00:00:00"/>
    <x v="0"/>
    <n v="15"/>
    <x v="1"/>
    <x v="0"/>
    <x v="0"/>
    <x v="0"/>
    <x v="0"/>
    <n v="5"/>
    <n v="60"/>
  </r>
  <r>
    <n v="3447"/>
    <x v="208"/>
    <x v="2"/>
    <d v="2024-09-29T00:00:00"/>
    <x v="1"/>
    <n v="10"/>
    <x v="0"/>
    <x v="1"/>
    <x v="1"/>
    <x v="0"/>
    <x v="0"/>
    <n v="10"/>
    <n v="20"/>
  </r>
  <r>
    <n v="3448"/>
    <x v="209"/>
    <x v="1"/>
    <d v="2024-09-30T00:00:00"/>
    <x v="0"/>
    <n v="5"/>
    <x v="2"/>
    <x v="1"/>
    <x v="1"/>
    <x v="1"/>
    <x v="1"/>
    <n v="0"/>
    <n v="5"/>
  </r>
  <r>
    <n v="3449"/>
    <x v="210"/>
    <x v="0"/>
    <d v="2024-10-01T00:00:00"/>
    <x v="1"/>
    <n v="15"/>
    <x v="0"/>
    <x v="0"/>
    <x v="0"/>
    <x v="0"/>
    <x v="0"/>
    <n v="3"/>
    <n v="62"/>
  </r>
  <r>
    <n v="3450"/>
    <x v="211"/>
    <x v="2"/>
    <d v="2024-10-02T00:00:00"/>
    <x v="0"/>
    <n v="10"/>
    <x v="1"/>
    <x v="1"/>
    <x v="1"/>
    <x v="0"/>
    <x v="0"/>
    <n v="15"/>
    <n v="15"/>
  </r>
  <r>
    <n v="3451"/>
    <x v="212"/>
    <x v="1"/>
    <d v="2024-10-03T00:00:00"/>
    <x v="1"/>
    <n v="5"/>
    <x v="0"/>
    <x v="1"/>
    <x v="1"/>
    <x v="1"/>
    <x v="1"/>
    <n v="1"/>
    <n v="4"/>
  </r>
  <r>
    <n v="3452"/>
    <x v="190"/>
    <x v="0"/>
    <d v="2024-10-04T00:00:00"/>
    <x v="0"/>
    <n v="15"/>
    <x v="2"/>
    <x v="0"/>
    <x v="0"/>
    <x v="0"/>
    <x v="0"/>
    <n v="7"/>
    <n v="58"/>
  </r>
  <r>
    <n v="3453"/>
    <x v="45"/>
    <x v="2"/>
    <d v="2024-10-05T00:00:00"/>
    <x v="1"/>
    <n v="10"/>
    <x v="0"/>
    <x v="1"/>
    <x v="1"/>
    <x v="0"/>
    <x v="0"/>
    <n v="10"/>
    <n v="20"/>
  </r>
  <r>
    <n v="3454"/>
    <x v="213"/>
    <x v="1"/>
    <d v="2024-10-06T00:00:00"/>
    <x v="0"/>
    <n v="5"/>
    <x v="1"/>
    <x v="1"/>
    <x v="1"/>
    <x v="1"/>
    <x v="1"/>
    <n v="0"/>
    <n v="5"/>
  </r>
  <r>
    <n v="3455"/>
    <x v="214"/>
    <x v="0"/>
    <d v="2024-10-07T00:00:00"/>
    <x v="1"/>
    <n v="15"/>
    <x v="0"/>
    <x v="0"/>
    <x v="0"/>
    <x v="0"/>
    <x v="0"/>
    <n v="20"/>
    <n v="45"/>
  </r>
  <r>
    <n v="3456"/>
    <x v="215"/>
    <x v="2"/>
    <d v="2024-10-08T00:00:00"/>
    <x v="0"/>
    <n v="10"/>
    <x v="2"/>
    <x v="1"/>
    <x v="1"/>
    <x v="0"/>
    <x v="0"/>
    <n v="15"/>
    <n v="15"/>
  </r>
  <r>
    <n v="3457"/>
    <x v="216"/>
    <x v="1"/>
    <d v="2024-10-09T00:00:00"/>
    <x v="1"/>
    <n v="5"/>
    <x v="0"/>
    <x v="1"/>
    <x v="1"/>
    <x v="1"/>
    <x v="1"/>
    <n v="1"/>
    <n v="4"/>
  </r>
  <r>
    <n v="3458"/>
    <x v="217"/>
    <x v="0"/>
    <d v="2024-10-10T00:00:00"/>
    <x v="0"/>
    <n v="15"/>
    <x v="1"/>
    <x v="0"/>
    <x v="0"/>
    <x v="0"/>
    <x v="0"/>
    <n v="3"/>
    <n v="62"/>
  </r>
  <r>
    <n v="3459"/>
    <x v="218"/>
    <x v="2"/>
    <d v="2024-10-11T00:00:00"/>
    <x v="1"/>
    <n v="10"/>
    <x v="0"/>
    <x v="1"/>
    <x v="1"/>
    <x v="0"/>
    <x v="0"/>
    <n v="10"/>
    <n v="20"/>
  </r>
  <r>
    <n v="3460"/>
    <x v="126"/>
    <x v="1"/>
    <d v="2024-10-12T00:00:00"/>
    <x v="0"/>
    <n v="5"/>
    <x v="2"/>
    <x v="1"/>
    <x v="1"/>
    <x v="1"/>
    <x v="1"/>
    <n v="0"/>
    <n v="5"/>
  </r>
  <r>
    <n v="3461"/>
    <x v="219"/>
    <x v="0"/>
    <d v="2024-10-13T00:00:00"/>
    <x v="1"/>
    <n v="15"/>
    <x v="0"/>
    <x v="0"/>
    <x v="0"/>
    <x v="0"/>
    <x v="0"/>
    <n v="15"/>
    <n v="50"/>
  </r>
  <r>
    <n v="3462"/>
    <x v="220"/>
    <x v="2"/>
    <d v="2024-10-14T00:00:00"/>
    <x v="0"/>
    <n v="10"/>
    <x v="1"/>
    <x v="1"/>
    <x v="1"/>
    <x v="0"/>
    <x v="0"/>
    <n v="15"/>
    <n v="15"/>
  </r>
  <r>
    <n v="3463"/>
    <x v="221"/>
    <x v="1"/>
    <d v="2024-10-15T00:00:00"/>
    <x v="1"/>
    <n v="5"/>
    <x v="0"/>
    <x v="1"/>
    <x v="1"/>
    <x v="1"/>
    <x v="1"/>
    <n v="1"/>
    <n v="4"/>
  </r>
  <r>
    <n v="3464"/>
    <x v="222"/>
    <x v="0"/>
    <d v="2024-10-16T00:00:00"/>
    <x v="0"/>
    <n v="15"/>
    <x v="2"/>
    <x v="0"/>
    <x v="0"/>
    <x v="0"/>
    <x v="0"/>
    <n v="7"/>
    <n v="58"/>
  </r>
  <r>
    <n v="3465"/>
    <x v="223"/>
    <x v="2"/>
    <d v="2024-10-17T00:00:00"/>
    <x v="1"/>
    <n v="10"/>
    <x v="0"/>
    <x v="1"/>
    <x v="1"/>
    <x v="0"/>
    <x v="0"/>
    <n v="10"/>
    <n v="20"/>
  </r>
  <r>
    <n v="3466"/>
    <x v="224"/>
    <x v="1"/>
    <d v="2024-10-18T00:00:00"/>
    <x v="0"/>
    <n v="5"/>
    <x v="1"/>
    <x v="1"/>
    <x v="1"/>
    <x v="1"/>
    <x v="1"/>
    <n v="0"/>
    <n v="5"/>
  </r>
  <r>
    <n v="3467"/>
    <x v="225"/>
    <x v="0"/>
    <d v="2024-10-19T00:00:00"/>
    <x v="1"/>
    <n v="15"/>
    <x v="0"/>
    <x v="0"/>
    <x v="0"/>
    <x v="0"/>
    <x v="0"/>
    <n v="15"/>
    <n v="50"/>
  </r>
  <r>
    <n v="3468"/>
    <x v="226"/>
    <x v="2"/>
    <d v="2024-10-20T00:00:00"/>
    <x v="0"/>
    <n v="10"/>
    <x v="2"/>
    <x v="1"/>
    <x v="1"/>
    <x v="0"/>
    <x v="0"/>
    <n v="12"/>
    <n v="18"/>
  </r>
  <r>
    <n v="3469"/>
    <x v="227"/>
    <x v="1"/>
    <d v="2024-10-21T00:00:00"/>
    <x v="1"/>
    <n v="5"/>
    <x v="0"/>
    <x v="1"/>
    <x v="1"/>
    <x v="1"/>
    <x v="1"/>
    <n v="2"/>
    <n v="3"/>
  </r>
  <r>
    <n v="3470"/>
    <x v="228"/>
    <x v="0"/>
    <d v="2024-10-22T00:00:00"/>
    <x v="0"/>
    <n v="15"/>
    <x v="1"/>
    <x v="0"/>
    <x v="0"/>
    <x v="0"/>
    <x v="0"/>
    <n v="5"/>
    <n v="60"/>
  </r>
  <r>
    <n v="3471"/>
    <x v="229"/>
    <x v="2"/>
    <d v="2024-10-23T00:00:00"/>
    <x v="1"/>
    <n v="10"/>
    <x v="0"/>
    <x v="1"/>
    <x v="1"/>
    <x v="0"/>
    <x v="0"/>
    <n v="10"/>
    <n v="20"/>
  </r>
  <r>
    <n v="3472"/>
    <x v="230"/>
    <x v="1"/>
    <d v="2024-10-24T00:00:00"/>
    <x v="0"/>
    <n v="5"/>
    <x v="2"/>
    <x v="1"/>
    <x v="1"/>
    <x v="1"/>
    <x v="1"/>
    <n v="0"/>
    <n v="5"/>
  </r>
  <r>
    <n v="3473"/>
    <x v="139"/>
    <x v="0"/>
    <d v="2024-10-25T00:00:00"/>
    <x v="1"/>
    <n v="15"/>
    <x v="0"/>
    <x v="0"/>
    <x v="0"/>
    <x v="0"/>
    <x v="0"/>
    <n v="3"/>
    <n v="62"/>
  </r>
  <r>
    <n v="3474"/>
    <x v="231"/>
    <x v="2"/>
    <d v="2024-10-26T00:00:00"/>
    <x v="0"/>
    <n v="10"/>
    <x v="1"/>
    <x v="1"/>
    <x v="1"/>
    <x v="0"/>
    <x v="0"/>
    <n v="15"/>
    <n v="15"/>
  </r>
  <r>
    <n v="3475"/>
    <x v="232"/>
    <x v="1"/>
    <d v="2024-10-27T00:00:00"/>
    <x v="1"/>
    <n v="5"/>
    <x v="0"/>
    <x v="1"/>
    <x v="1"/>
    <x v="1"/>
    <x v="1"/>
    <n v="1"/>
    <n v="4"/>
  </r>
  <r>
    <n v="3476"/>
    <x v="233"/>
    <x v="0"/>
    <d v="2024-10-28T00:00:00"/>
    <x v="0"/>
    <n v="15"/>
    <x v="2"/>
    <x v="0"/>
    <x v="0"/>
    <x v="0"/>
    <x v="0"/>
    <n v="7"/>
    <n v="58"/>
  </r>
  <r>
    <n v="3477"/>
    <x v="234"/>
    <x v="2"/>
    <d v="2024-10-29T00:00:00"/>
    <x v="1"/>
    <n v="10"/>
    <x v="0"/>
    <x v="1"/>
    <x v="1"/>
    <x v="0"/>
    <x v="0"/>
    <n v="10"/>
    <n v="20"/>
  </r>
  <r>
    <n v="3478"/>
    <x v="235"/>
    <x v="1"/>
    <d v="2024-10-30T00:00:00"/>
    <x v="0"/>
    <n v="5"/>
    <x v="1"/>
    <x v="1"/>
    <x v="1"/>
    <x v="1"/>
    <x v="1"/>
    <n v="0"/>
    <n v="5"/>
  </r>
  <r>
    <n v="3479"/>
    <x v="236"/>
    <x v="0"/>
    <d v="2024-10-31T00:00:00"/>
    <x v="1"/>
    <n v="15"/>
    <x v="0"/>
    <x v="0"/>
    <x v="0"/>
    <x v="0"/>
    <x v="0"/>
    <n v="20"/>
    <n v="45"/>
  </r>
  <r>
    <n v="3480"/>
    <x v="237"/>
    <x v="2"/>
    <d v="2024-11-01T00:00:00"/>
    <x v="0"/>
    <n v="10"/>
    <x v="2"/>
    <x v="1"/>
    <x v="1"/>
    <x v="0"/>
    <x v="0"/>
    <n v="15"/>
    <n v="15"/>
  </r>
  <r>
    <n v="3481"/>
    <x v="238"/>
    <x v="1"/>
    <d v="2024-11-02T00:00:00"/>
    <x v="1"/>
    <n v="5"/>
    <x v="0"/>
    <x v="1"/>
    <x v="1"/>
    <x v="1"/>
    <x v="1"/>
    <n v="1"/>
    <n v="4"/>
  </r>
  <r>
    <n v="3482"/>
    <x v="239"/>
    <x v="0"/>
    <d v="2024-11-03T00:00:00"/>
    <x v="0"/>
    <n v="15"/>
    <x v="1"/>
    <x v="0"/>
    <x v="0"/>
    <x v="0"/>
    <x v="0"/>
    <n v="3"/>
    <n v="62"/>
  </r>
  <r>
    <n v="3483"/>
    <x v="240"/>
    <x v="2"/>
    <d v="2024-11-04T00:00:00"/>
    <x v="1"/>
    <n v="10"/>
    <x v="0"/>
    <x v="1"/>
    <x v="1"/>
    <x v="0"/>
    <x v="0"/>
    <n v="10"/>
    <n v="20"/>
  </r>
  <r>
    <n v="3484"/>
    <x v="241"/>
    <x v="1"/>
    <d v="2024-11-05T00:00:00"/>
    <x v="0"/>
    <n v="5"/>
    <x v="2"/>
    <x v="1"/>
    <x v="1"/>
    <x v="1"/>
    <x v="1"/>
    <n v="0"/>
    <n v="5"/>
  </r>
  <r>
    <n v="3485"/>
    <x v="242"/>
    <x v="0"/>
    <d v="2024-11-06T00:00:00"/>
    <x v="1"/>
    <n v="15"/>
    <x v="0"/>
    <x v="0"/>
    <x v="0"/>
    <x v="0"/>
    <x v="0"/>
    <n v="15"/>
    <n v="50"/>
  </r>
  <r>
    <n v="3486"/>
    <x v="243"/>
    <x v="1"/>
    <d v="2024-11-07T00:00:00"/>
    <x v="0"/>
    <n v="5"/>
    <x v="0"/>
    <x v="1"/>
    <x v="1"/>
    <x v="1"/>
    <x v="1"/>
    <n v="0"/>
    <n v="5"/>
  </r>
  <r>
    <n v="3487"/>
    <x v="244"/>
    <x v="0"/>
    <d v="2024-11-08T00:00:00"/>
    <x v="1"/>
    <n v="15"/>
    <x v="2"/>
    <x v="0"/>
    <x v="0"/>
    <x v="0"/>
    <x v="0"/>
    <n v="7"/>
    <n v="58"/>
  </r>
  <r>
    <n v="3488"/>
    <x v="245"/>
    <x v="2"/>
    <d v="2024-11-09T00:00:00"/>
    <x v="0"/>
    <n v="10"/>
    <x v="1"/>
    <x v="1"/>
    <x v="1"/>
    <x v="0"/>
    <x v="0"/>
    <n v="10"/>
    <n v="20"/>
  </r>
  <r>
    <n v="3489"/>
    <x v="246"/>
    <x v="1"/>
    <d v="2024-11-10T00:00:00"/>
    <x v="1"/>
    <n v="5"/>
    <x v="2"/>
    <x v="1"/>
    <x v="1"/>
    <x v="1"/>
    <x v="1"/>
    <n v="1"/>
    <n v="4"/>
  </r>
  <r>
    <n v="3490"/>
    <x v="247"/>
    <x v="0"/>
    <d v="2024-11-11T00:00:00"/>
    <x v="0"/>
    <n v="15"/>
    <x v="0"/>
    <x v="0"/>
    <x v="0"/>
    <x v="0"/>
    <x v="0"/>
    <n v="15"/>
    <n v="50"/>
  </r>
  <r>
    <n v="3491"/>
    <x v="248"/>
    <x v="2"/>
    <d v="2024-11-12T00:00:00"/>
    <x v="1"/>
    <n v="10"/>
    <x v="0"/>
    <x v="1"/>
    <x v="1"/>
    <x v="0"/>
    <x v="0"/>
    <n v="5"/>
    <n v="25"/>
  </r>
  <r>
    <n v="3492"/>
    <x v="249"/>
    <x v="1"/>
    <d v="2024-11-13T00:00:00"/>
    <x v="0"/>
    <n v="5"/>
    <x v="1"/>
    <x v="1"/>
    <x v="1"/>
    <x v="1"/>
    <x v="1"/>
    <n v="0"/>
    <n v="5"/>
  </r>
  <r>
    <n v="3493"/>
    <x v="250"/>
    <x v="0"/>
    <d v="2024-11-14T00:00:00"/>
    <x v="1"/>
    <n v="15"/>
    <x v="2"/>
    <x v="0"/>
    <x v="0"/>
    <x v="0"/>
    <x v="0"/>
    <n v="20"/>
    <n v="45"/>
  </r>
  <r>
    <n v="3494"/>
    <x v="251"/>
    <x v="2"/>
    <d v="2024-11-15T00:00:00"/>
    <x v="0"/>
    <n v="10"/>
    <x v="2"/>
    <x v="1"/>
    <x v="1"/>
    <x v="0"/>
    <x v="0"/>
    <n v="12"/>
    <n v="18"/>
  </r>
  <r>
    <n v="3495"/>
    <x v="252"/>
    <x v="1"/>
    <d v="2024-11-16T00:00:00"/>
    <x v="1"/>
    <n v="5"/>
    <x v="0"/>
    <x v="1"/>
    <x v="1"/>
    <x v="1"/>
    <x v="1"/>
    <n v="2"/>
    <n v="3"/>
  </r>
  <r>
    <n v="3496"/>
    <x v="253"/>
    <x v="0"/>
    <d v="2024-11-17T00:00:00"/>
    <x v="0"/>
    <n v="15"/>
    <x v="1"/>
    <x v="0"/>
    <x v="0"/>
    <x v="0"/>
    <x v="0"/>
    <n v="5"/>
    <n v="60"/>
  </r>
  <r>
    <n v="3497"/>
    <x v="254"/>
    <x v="2"/>
    <d v="2024-11-18T00:00:00"/>
    <x v="1"/>
    <n v="10"/>
    <x v="0"/>
    <x v="1"/>
    <x v="1"/>
    <x v="0"/>
    <x v="0"/>
    <n v="10"/>
    <n v="20"/>
  </r>
  <r>
    <n v="3498"/>
    <x v="255"/>
    <x v="1"/>
    <d v="2024-11-19T00:00:00"/>
    <x v="0"/>
    <n v="5"/>
    <x v="2"/>
    <x v="1"/>
    <x v="1"/>
    <x v="1"/>
    <x v="1"/>
    <n v="0"/>
    <n v="5"/>
  </r>
  <r>
    <n v="3499"/>
    <x v="256"/>
    <x v="0"/>
    <d v="2024-11-20T00:00:00"/>
    <x v="1"/>
    <n v="15"/>
    <x v="0"/>
    <x v="0"/>
    <x v="0"/>
    <x v="0"/>
    <x v="0"/>
    <n v="3"/>
    <n v="62"/>
  </r>
  <r>
    <n v="3500"/>
    <x v="257"/>
    <x v="2"/>
    <d v="2024-11-21T00:00:00"/>
    <x v="0"/>
    <n v="10"/>
    <x v="1"/>
    <x v="1"/>
    <x v="1"/>
    <x v="0"/>
    <x v="0"/>
    <n v="15"/>
    <n v="15"/>
  </r>
  <r>
    <n v="3501"/>
    <x v="258"/>
    <x v="1"/>
    <d v="2024-11-22T00:00:00"/>
    <x v="1"/>
    <n v="5"/>
    <x v="0"/>
    <x v="1"/>
    <x v="1"/>
    <x v="1"/>
    <x v="1"/>
    <n v="1"/>
    <n v="4"/>
  </r>
  <r>
    <n v="3502"/>
    <x v="259"/>
    <x v="0"/>
    <d v="2024-11-23T00:00:00"/>
    <x v="0"/>
    <n v="15"/>
    <x v="2"/>
    <x v="0"/>
    <x v="0"/>
    <x v="0"/>
    <x v="0"/>
    <n v="7"/>
    <n v="58"/>
  </r>
  <r>
    <n v="3503"/>
    <x v="119"/>
    <x v="2"/>
    <d v="2024-11-24T00:00:00"/>
    <x v="1"/>
    <n v="10"/>
    <x v="0"/>
    <x v="1"/>
    <x v="1"/>
    <x v="0"/>
    <x v="0"/>
    <n v="10"/>
    <n v="20"/>
  </r>
  <r>
    <n v="3504"/>
    <x v="260"/>
    <x v="1"/>
    <d v="2024-11-25T00:00:00"/>
    <x v="0"/>
    <n v="5"/>
    <x v="1"/>
    <x v="1"/>
    <x v="1"/>
    <x v="1"/>
    <x v="1"/>
    <n v="0"/>
    <n v="5"/>
  </r>
  <r>
    <n v="3505"/>
    <x v="261"/>
    <x v="0"/>
    <d v="2024-11-26T00:00:00"/>
    <x v="1"/>
    <n v="15"/>
    <x v="0"/>
    <x v="0"/>
    <x v="0"/>
    <x v="0"/>
    <x v="0"/>
    <n v="20"/>
    <n v="45"/>
  </r>
  <r>
    <n v="3506"/>
    <x v="262"/>
    <x v="2"/>
    <d v="2024-11-27T00:00:00"/>
    <x v="0"/>
    <n v="10"/>
    <x v="2"/>
    <x v="1"/>
    <x v="1"/>
    <x v="0"/>
    <x v="0"/>
    <n v="15"/>
    <n v="15"/>
  </r>
  <r>
    <n v="3507"/>
    <x v="263"/>
    <x v="1"/>
    <d v="2024-11-28T00:00:00"/>
    <x v="1"/>
    <n v="5"/>
    <x v="0"/>
    <x v="1"/>
    <x v="1"/>
    <x v="1"/>
    <x v="1"/>
    <n v="1"/>
    <n v="4"/>
  </r>
  <r>
    <n v="3508"/>
    <x v="264"/>
    <x v="0"/>
    <d v="2024-11-29T00:00:00"/>
    <x v="0"/>
    <n v="15"/>
    <x v="1"/>
    <x v="0"/>
    <x v="0"/>
    <x v="0"/>
    <x v="0"/>
    <n v="3"/>
    <n v="62"/>
  </r>
  <r>
    <n v="3509"/>
    <x v="265"/>
    <x v="2"/>
    <d v="2024-11-30T00:00:00"/>
    <x v="1"/>
    <n v="10"/>
    <x v="0"/>
    <x v="1"/>
    <x v="1"/>
    <x v="0"/>
    <x v="0"/>
    <n v="10"/>
    <n v="20"/>
  </r>
  <r>
    <n v="3510"/>
    <x v="266"/>
    <x v="1"/>
    <d v="2024-12-01T00:00:00"/>
    <x v="0"/>
    <n v="5"/>
    <x v="2"/>
    <x v="1"/>
    <x v="1"/>
    <x v="1"/>
    <x v="1"/>
    <n v="0"/>
    <n v="5"/>
  </r>
  <r>
    <n v="3511"/>
    <x v="267"/>
    <x v="0"/>
    <d v="2024-12-02T00:00:00"/>
    <x v="1"/>
    <n v="15"/>
    <x v="0"/>
    <x v="0"/>
    <x v="0"/>
    <x v="0"/>
    <x v="0"/>
    <n v="15"/>
    <n v="50"/>
  </r>
  <r>
    <n v="3512"/>
    <x v="268"/>
    <x v="2"/>
    <d v="2024-12-03T00:00:00"/>
    <x v="0"/>
    <n v="10"/>
    <x v="1"/>
    <x v="1"/>
    <x v="1"/>
    <x v="0"/>
    <x v="0"/>
    <n v="15"/>
    <n v="15"/>
  </r>
  <r>
    <n v="3513"/>
    <x v="269"/>
    <x v="1"/>
    <d v="2024-12-04T00:00:00"/>
    <x v="1"/>
    <n v="5"/>
    <x v="0"/>
    <x v="1"/>
    <x v="1"/>
    <x v="1"/>
    <x v="1"/>
    <n v="1"/>
    <n v="4"/>
  </r>
  <r>
    <n v="3514"/>
    <x v="270"/>
    <x v="0"/>
    <d v="2024-12-05T00:00:00"/>
    <x v="0"/>
    <n v="15"/>
    <x v="2"/>
    <x v="0"/>
    <x v="0"/>
    <x v="0"/>
    <x v="0"/>
    <n v="7"/>
    <n v="58"/>
  </r>
  <r>
    <n v="3515"/>
    <x v="129"/>
    <x v="2"/>
    <d v="2024-12-06T00:00:00"/>
    <x v="1"/>
    <n v="10"/>
    <x v="0"/>
    <x v="1"/>
    <x v="1"/>
    <x v="0"/>
    <x v="0"/>
    <n v="10"/>
    <n v="20"/>
  </r>
  <r>
    <n v="3516"/>
    <x v="130"/>
    <x v="1"/>
    <d v="2024-12-07T00:00:00"/>
    <x v="0"/>
    <n v="5"/>
    <x v="1"/>
    <x v="1"/>
    <x v="1"/>
    <x v="1"/>
    <x v="1"/>
    <n v="0"/>
    <n v="5"/>
  </r>
  <r>
    <n v="3517"/>
    <x v="180"/>
    <x v="0"/>
    <d v="2024-12-08T00:00:00"/>
    <x v="1"/>
    <n v="15"/>
    <x v="0"/>
    <x v="0"/>
    <x v="0"/>
    <x v="0"/>
    <x v="0"/>
    <n v="20"/>
    <n v="45"/>
  </r>
  <r>
    <n v="3518"/>
    <x v="271"/>
    <x v="2"/>
    <d v="2024-12-09T00:00:00"/>
    <x v="0"/>
    <n v="10"/>
    <x v="2"/>
    <x v="1"/>
    <x v="1"/>
    <x v="0"/>
    <x v="0"/>
    <n v="12"/>
    <n v="18"/>
  </r>
  <r>
    <n v="3519"/>
    <x v="272"/>
    <x v="1"/>
    <d v="2024-12-10T00:00:00"/>
    <x v="1"/>
    <n v="5"/>
    <x v="0"/>
    <x v="1"/>
    <x v="1"/>
    <x v="1"/>
    <x v="1"/>
    <n v="2"/>
    <n v="3"/>
  </r>
  <r>
    <n v="3520"/>
    <x v="273"/>
    <x v="0"/>
    <d v="2024-12-11T00:00:00"/>
    <x v="0"/>
    <n v="15"/>
    <x v="1"/>
    <x v="0"/>
    <x v="0"/>
    <x v="0"/>
    <x v="0"/>
    <n v="5"/>
    <n v="60"/>
  </r>
  <r>
    <n v="3521"/>
    <x v="274"/>
    <x v="2"/>
    <d v="2024-12-12T00:00:00"/>
    <x v="1"/>
    <n v="10"/>
    <x v="0"/>
    <x v="1"/>
    <x v="1"/>
    <x v="0"/>
    <x v="0"/>
    <n v="10"/>
    <n v="20"/>
  </r>
  <r>
    <n v="3522"/>
    <x v="275"/>
    <x v="1"/>
    <d v="2024-12-13T00:00:00"/>
    <x v="0"/>
    <n v="5"/>
    <x v="2"/>
    <x v="1"/>
    <x v="1"/>
    <x v="1"/>
    <x v="1"/>
    <n v="0"/>
    <n v="5"/>
  </r>
  <r>
    <n v="3523"/>
    <x v="276"/>
    <x v="0"/>
    <d v="2024-12-14T00:00:00"/>
    <x v="1"/>
    <n v="15"/>
    <x v="0"/>
    <x v="0"/>
    <x v="0"/>
    <x v="0"/>
    <x v="0"/>
    <n v="3"/>
    <n v="62"/>
  </r>
  <r>
    <n v="3524"/>
    <x v="277"/>
    <x v="2"/>
    <d v="2024-12-15T00:00:00"/>
    <x v="0"/>
    <n v="10"/>
    <x v="1"/>
    <x v="1"/>
    <x v="1"/>
    <x v="0"/>
    <x v="0"/>
    <n v="15"/>
    <n v="15"/>
  </r>
  <r>
    <n v="3525"/>
    <x v="278"/>
    <x v="1"/>
    <d v="2024-12-16T00:00:00"/>
    <x v="1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45D51-9D8B-446F-A893-865D0745131B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d">
  <location ref="B15:C21" firstHeaderRow="1" firstDataRow="1" firstDataCol="1" rowPageCount="1" colPageCount="1"/>
  <pivotFields count="13">
    <pivotField showAll="0"/>
    <pivotField showAll="0">
      <items count="280">
        <item x="87"/>
        <item x="61"/>
        <item x="205"/>
        <item x="274"/>
        <item x="112"/>
        <item x="227"/>
        <item x="35"/>
        <item x="252"/>
        <item x="135"/>
        <item x="3"/>
        <item x="160"/>
        <item x="184"/>
        <item x="7"/>
        <item x="88"/>
        <item x="16"/>
        <item x="185"/>
        <item x="161"/>
        <item x="275"/>
        <item x="36"/>
        <item x="253"/>
        <item x="206"/>
        <item x="136"/>
        <item x="62"/>
        <item x="9"/>
        <item x="113"/>
        <item x="228"/>
        <item x="162"/>
        <item x="15"/>
        <item x="6"/>
        <item x="63"/>
        <item x="37"/>
        <item x="229"/>
        <item x="254"/>
        <item x="276"/>
        <item x="137"/>
        <item x="89"/>
        <item x="114"/>
        <item x="17"/>
        <item x="186"/>
        <item x="90"/>
        <item x="138"/>
        <item x="18"/>
        <item x="38"/>
        <item x="64"/>
        <item x="230"/>
        <item x="207"/>
        <item x="255"/>
        <item x="277"/>
        <item x="13"/>
        <item x="115"/>
        <item x="163"/>
        <item x="91"/>
        <item x="187"/>
        <item x="19"/>
        <item x="208"/>
        <item x="116"/>
        <item x="256"/>
        <item x="278"/>
        <item x="139"/>
        <item x="65"/>
        <item x="39"/>
        <item x="92"/>
        <item x="209"/>
        <item x="140"/>
        <item x="231"/>
        <item x="257"/>
        <item x="40"/>
        <item x="66"/>
        <item x="117"/>
        <item x="5"/>
        <item x="164"/>
        <item x="14"/>
        <item x="67"/>
        <item x="210"/>
        <item x="188"/>
        <item x="258"/>
        <item x="20"/>
        <item x="93"/>
        <item x="232"/>
        <item x="41"/>
        <item x="141"/>
        <item x="165"/>
        <item x="142"/>
        <item x="94"/>
        <item x="211"/>
        <item x="166"/>
        <item x="68"/>
        <item x="42"/>
        <item x="233"/>
        <item x="118"/>
        <item x="21"/>
        <item x="259"/>
        <item x="143"/>
        <item x="189"/>
        <item x="212"/>
        <item x="167"/>
        <item x="43"/>
        <item x="234"/>
        <item x="119"/>
        <item x="95"/>
        <item x="22"/>
        <item x="69"/>
        <item x="144"/>
        <item x="190"/>
        <item x="168"/>
        <item x="120"/>
        <item x="260"/>
        <item x="96"/>
        <item x="235"/>
        <item x="0"/>
        <item x="23"/>
        <item x="44"/>
        <item x="70"/>
        <item x="71"/>
        <item x="97"/>
        <item x="169"/>
        <item x="261"/>
        <item x="236"/>
        <item x="145"/>
        <item x="45"/>
        <item x="24"/>
        <item x="121"/>
        <item x="12"/>
        <item x="2"/>
        <item x="191"/>
        <item x="72"/>
        <item x="262"/>
        <item x="170"/>
        <item x="237"/>
        <item x="46"/>
        <item x="98"/>
        <item x="213"/>
        <item x="146"/>
        <item x="192"/>
        <item x="263"/>
        <item x="99"/>
        <item x="171"/>
        <item x="47"/>
        <item x="122"/>
        <item x="11"/>
        <item x="238"/>
        <item x="147"/>
        <item x="214"/>
        <item x="1"/>
        <item x="25"/>
        <item x="73"/>
        <item x="123"/>
        <item x="215"/>
        <item x="264"/>
        <item x="148"/>
        <item x="239"/>
        <item x="193"/>
        <item x="26"/>
        <item x="48"/>
        <item x="172"/>
        <item x="100"/>
        <item x="74"/>
        <item x="194"/>
        <item x="173"/>
        <item x="124"/>
        <item x="240"/>
        <item x="265"/>
        <item x="49"/>
        <item x="101"/>
        <item x="149"/>
        <item x="216"/>
        <item x="75"/>
        <item x="27"/>
        <item x="150"/>
        <item x="102"/>
        <item x="217"/>
        <item x="241"/>
        <item x="266"/>
        <item x="50"/>
        <item x="28"/>
        <item x="76"/>
        <item x="195"/>
        <item x="174"/>
        <item x="4"/>
        <item x="125"/>
        <item x="218"/>
        <item x="267"/>
        <item x="77"/>
        <item x="51"/>
        <item x="151"/>
        <item x="242"/>
        <item x="126"/>
        <item x="103"/>
        <item x="243"/>
        <item x="29"/>
        <item x="196"/>
        <item x="175"/>
        <item x="78"/>
        <item x="268"/>
        <item x="52"/>
        <item x="152"/>
        <item x="10"/>
        <item x="79"/>
        <item x="104"/>
        <item x="30"/>
        <item x="176"/>
        <item x="219"/>
        <item x="244"/>
        <item x="269"/>
        <item x="127"/>
        <item x="8"/>
        <item x="153"/>
        <item x="197"/>
        <item x="53"/>
        <item x="31"/>
        <item x="270"/>
        <item x="245"/>
        <item x="105"/>
        <item x="177"/>
        <item x="220"/>
        <item x="80"/>
        <item x="128"/>
        <item x="154"/>
        <item x="54"/>
        <item x="198"/>
        <item x="246"/>
        <item x="55"/>
        <item x="106"/>
        <item x="178"/>
        <item x="81"/>
        <item x="155"/>
        <item x="221"/>
        <item x="199"/>
        <item x="129"/>
        <item x="247"/>
        <item x="56"/>
        <item x="222"/>
        <item x="156"/>
        <item x="130"/>
        <item x="179"/>
        <item x="200"/>
        <item x="82"/>
        <item x="107"/>
        <item x="32"/>
        <item x="157"/>
        <item x="131"/>
        <item x="201"/>
        <item x="83"/>
        <item x="180"/>
        <item x="223"/>
        <item x="248"/>
        <item x="57"/>
        <item x="108"/>
        <item x="202"/>
        <item x="132"/>
        <item x="224"/>
        <item x="109"/>
        <item x="271"/>
        <item x="181"/>
        <item x="84"/>
        <item x="249"/>
        <item x="58"/>
        <item x="110"/>
        <item x="59"/>
        <item x="182"/>
        <item x="225"/>
        <item x="85"/>
        <item x="272"/>
        <item x="158"/>
        <item x="33"/>
        <item x="203"/>
        <item x="250"/>
        <item x="133"/>
        <item x="204"/>
        <item x="60"/>
        <item x="183"/>
        <item x="159"/>
        <item x="273"/>
        <item x="226"/>
        <item x="134"/>
        <item x="86"/>
        <item x="34"/>
        <item x="251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4CC8C-0C79-43E5-AA3F-9E6495236AA6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d">
  <location ref="B4:C7" firstHeaderRow="1" firstDataRow="1" firstDataCol="1"/>
  <pivotFields count="13">
    <pivotField showAll="0"/>
    <pivotField showAll="0">
      <items count="280">
        <item x="87"/>
        <item x="61"/>
        <item x="205"/>
        <item x="274"/>
        <item x="112"/>
        <item x="227"/>
        <item x="35"/>
        <item x="252"/>
        <item x="135"/>
        <item x="3"/>
        <item x="160"/>
        <item x="184"/>
        <item x="7"/>
        <item x="88"/>
        <item x="16"/>
        <item x="185"/>
        <item x="161"/>
        <item x="275"/>
        <item x="36"/>
        <item x="253"/>
        <item x="206"/>
        <item x="136"/>
        <item x="62"/>
        <item x="9"/>
        <item x="113"/>
        <item x="228"/>
        <item x="162"/>
        <item x="15"/>
        <item x="6"/>
        <item x="63"/>
        <item x="37"/>
        <item x="229"/>
        <item x="254"/>
        <item x="276"/>
        <item x="137"/>
        <item x="89"/>
        <item x="114"/>
        <item x="17"/>
        <item x="186"/>
        <item x="90"/>
        <item x="138"/>
        <item x="18"/>
        <item x="38"/>
        <item x="64"/>
        <item x="230"/>
        <item x="207"/>
        <item x="255"/>
        <item x="277"/>
        <item x="13"/>
        <item x="115"/>
        <item x="163"/>
        <item x="91"/>
        <item x="187"/>
        <item x="19"/>
        <item x="208"/>
        <item x="116"/>
        <item x="256"/>
        <item x="278"/>
        <item x="139"/>
        <item x="65"/>
        <item x="39"/>
        <item x="92"/>
        <item x="209"/>
        <item x="140"/>
        <item x="231"/>
        <item x="257"/>
        <item x="40"/>
        <item x="66"/>
        <item x="117"/>
        <item x="5"/>
        <item x="164"/>
        <item x="14"/>
        <item x="67"/>
        <item x="210"/>
        <item x="188"/>
        <item x="258"/>
        <item x="20"/>
        <item x="93"/>
        <item x="232"/>
        <item x="41"/>
        <item x="141"/>
        <item x="165"/>
        <item x="142"/>
        <item x="94"/>
        <item x="211"/>
        <item x="166"/>
        <item x="68"/>
        <item x="42"/>
        <item x="233"/>
        <item x="118"/>
        <item x="21"/>
        <item x="259"/>
        <item x="143"/>
        <item x="189"/>
        <item x="212"/>
        <item x="167"/>
        <item x="43"/>
        <item x="234"/>
        <item x="119"/>
        <item x="95"/>
        <item x="22"/>
        <item x="69"/>
        <item x="144"/>
        <item x="190"/>
        <item x="168"/>
        <item x="120"/>
        <item x="260"/>
        <item x="96"/>
        <item x="235"/>
        <item x="0"/>
        <item x="23"/>
        <item x="44"/>
        <item x="70"/>
        <item x="71"/>
        <item x="97"/>
        <item x="169"/>
        <item x="261"/>
        <item x="236"/>
        <item x="145"/>
        <item x="45"/>
        <item x="24"/>
        <item x="121"/>
        <item x="12"/>
        <item x="2"/>
        <item x="191"/>
        <item x="72"/>
        <item x="262"/>
        <item x="170"/>
        <item x="237"/>
        <item x="46"/>
        <item x="98"/>
        <item x="213"/>
        <item x="146"/>
        <item x="192"/>
        <item x="263"/>
        <item x="99"/>
        <item x="171"/>
        <item x="47"/>
        <item x="122"/>
        <item x="11"/>
        <item x="238"/>
        <item x="147"/>
        <item x="214"/>
        <item x="1"/>
        <item x="25"/>
        <item x="73"/>
        <item x="123"/>
        <item x="215"/>
        <item x="264"/>
        <item x="148"/>
        <item x="239"/>
        <item x="193"/>
        <item x="26"/>
        <item x="48"/>
        <item x="172"/>
        <item x="100"/>
        <item x="74"/>
        <item x="194"/>
        <item x="173"/>
        <item x="124"/>
        <item x="240"/>
        <item x="265"/>
        <item x="49"/>
        <item x="101"/>
        <item x="149"/>
        <item x="216"/>
        <item x="75"/>
        <item x="27"/>
        <item x="150"/>
        <item x="102"/>
        <item x="217"/>
        <item x="241"/>
        <item x="266"/>
        <item x="50"/>
        <item x="28"/>
        <item x="76"/>
        <item x="195"/>
        <item x="174"/>
        <item x="4"/>
        <item x="125"/>
        <item x="218"/>
        <item x="267"/>
        <item x="77"/>
        <item x="51"/>
        <item x="151"/>
        <item x="242"/>
        <item x="126"/>
        <item x="103"/>
        <item x="243"/>
        <item x="29"/>
        <item x="196"/>
        <item x="175"/>
        <item x="78"/>
        <item x="268"/>
        <item x="52"/>
        <item x="152"/>
        <item x="10"/>
        <item x="79"/>
        <item x="104"/>
        <item x="30"/>
        <item x="176"/>
        <item x="219"/>
        <item x="244"/>
        <item x="269"/>
        <item x="127"/>
        <item x="8"/>
        <item x="153"/>
        <item x="197"/>
        <item x="53"/>
        <item x="31"/>
        <item x="270"/>
        <item x="245"/>
        <item x="105"/>
        <item x="177"/>
        <item x="220"/>
        <item x="80"/>
        <item x="128"/>
        <item x="154"/>
        <item x="54"/>
        <item x="198"/>
        <item x="246"/>
        <item x="55"/>
        <item x="106"/>
        <item x="178"/>
        <item x="81"/>
        <item x="155"/>
        <item x="221"/>
        <item x="199"/>
        <item x="129"/>
        <item x="247"/>
        <item x="56"/>
        <item x="222"/>
        <item x="156"/>
        <item x="130"/>
        <item x="179"/>
        <item x="200"/>
        <item x="82"/>
        <item x="107"/>
        <item x="32"/>
        <item x="157"/>
        <item x="131"/>
        <item x="201"/>
        <item x="83"/>
        <item x="180"/>
        <item x="223"/>
        <item x="248"/>
        <item x="57"/>
        <item x="108"/>
        <item x="202"/>
        <item x="132"/>
        <item x="224"/>
        <item x="109"/>
        <item x="271"/>
        <item x="181"/>
        <item x="84"/>
        <item x="249"/>
        <item x="58"/>
        <item x="110"/>
        <item x="59"/>
        <item x="182"/>
        <item x="225"/>
        <item x="85"/>
        <item x="272"/>
        <item x="158"/>
        <item x="33"/>
        <item x="203"/>
        <item x="250"/>
        <item x="133"/>
        <item x="204"/>
        <item x="60"/>
        <item x="183"/>
        <item x="159"/>
        <item x="273"/>
        <item x="226"/>
        <item x="134"/>
        <item x="86"/>
        <item x="34"/>
        <item x="251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6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BECCB-C962-434B-B2E7-86ADA8A24863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d">
  <location ref="B27:C31" firstHeaderRow="1" firstDataRow="1" firstDataCol="1" rowPageCount="1" colPageCount="1"/>
  <pivotFields count="13">
    <pivotField showAll="0"/>
    <pivotField showAll="0">
      <items count="280">
        <item x="87"/>
        <item x="61"/>
        <item x="205"/>
        <item x="274"/>
        <item x="112"/>
        <item x="227"/>
        <item x="35"/>
        <item x="252"/>
        <item x="135"/>
        <item x="3"/>
        <item x="160"/>
        <item x="184"/>
        <item x="7"/>
        <item x="88"/>
        <item x="16"/>
        <item x="185"/>
        <item x="161"/>
        <item x="275"/>
        <item x="36"/>
        <item x="253"/>
        <item x="206"/>
        <item x="136"/>
        <item x="62"/>
        <item x="9"/>
        <item x="113"/>
        <item x="228"/>
        <item x="162"/>
        <item x="15"/>
        <item x="6"/>
        <item x="63"/>
        <item x="37"/>
        <item x="229"/>
        <item x="254"/>
        <item x="276"/>
        <item x="137"/>
        <item x="89"/>
        <item x="114"/>
        <item x="17"/>
        <item x="186"/>
        <item x="90"/>
        <item x="138"/>
        <item x="18"/>
        <item x="38"/>
        <item x="64"/>
        <item x="230"/>
        <item x="207"/>
        <item x="255"/>
        <item x="277"/>
        <item x="13"/>
        <item x="115"/>
        <item x="163"/>
        <item x="91"/>
        <item x="187"/>
        <item x="19"/>
        <item x="208"/>
        <item x="116"/>
        <item x="256"/>
        <item x="278"/>
        <item x="139"/>
        <item x="65"/>
        <item x="39"/>
        <item x="92"/>
        <item x="209"/>
        <item x="140"/>
        <item x="231"/>
        <item x="257"/>
        <item x="40"/>
        <item x="66"/>
        <item x="117"/>
        <item x="5"/>
        <item x="164"/>
        <item x="14"/>
        <item x="67"/>
        <item x="210"/>
        <item x="188"/>
        <item x="258"/>
        <item x="20"/>
        <item x="93"/>
        <item x="232"/>
        <item x="41"/>
        <item x="141"/>
        <item x="165"/>
        <item x="142"/>
        <item x="94"/>
        <item x="211"/>
        <item x="166"/>
        <item x="68"/>
        <item x="42"/>
        <item x="233"/>
        <item x="118"/>
        <item x="21"/>
        <item x="259"/>
        <item x="143"/>
        <item x="189"/>
        <item x="212"/>
        <item x="167"/>
        <item x="43"/>
        <item x="234"/>
        <item x="119"/>
        <item x="95"/>
        <item x="22"/>
        <item x="69"/>
        <item x="144"/>
        <item x="190"/>
        <item x="168"/>
        <item x="120"/>
        <item x="260"/>
        <item x="96"/>
        <item x="235"/>
        <item x="0"/>
        <item x="23"/>
        <item x="44"/>
        <item x="70"/>
        <item x="71"/>
        <item x="97"/>
        <item x="169"/>
        <item x="261"/>
        <item x="236"/>
        <item x="145"/>
        <item x="45"/>
        <item x="24"/>
        <item x="121"/>
        <item x="12"/>
        <item x="2"/>
        <item x="191"/>
        <item x="72"/>
        <item x="262"/>
        <item x="170"/>
        <item x="237"/>
        <item x="46"/>
        <item x="98"/>
        <item x="213"/>
        <item x="146"/>
        <item x="192"/>
        <item x="263"/>
        <item x="99"/>
        <item x="171"/>
        <item x="47"/>
        <item x="122"/>
        <item x="11"/>
        <item x="238"/>
        <item x="147"/>
        <item x="214"/>
        <item x="1"/>
        <item x="25"/>
        <item x="73"/>
        <item x="123"/>
        <item x="215"/>
        <item x="264"/>
        <item x="148"/>
        <item x="239"/>
        <item x="193"/>
        <item x="26"/>
        <item x="48"/>
        <item x="172"/>
        <item x="100"/>
        <item x="74"/>
        <item x="194"/>
        <item x="173"/>
        <item x="124"/>
        <item x="240"/>
        <item x="265"/>
        <item x="49"/>
        <item x="101"/>
        <item x="149"/>
        <item x="216"/>
        <item x="75"/>
        <item x="27"/>
        <item x="150"/>
        <item x="102"/>
        <item x="217"/>
        <item x="241"/>
        <item x="266"/>
        <item x="50"/>
        <item x="28"/>
        <item x="76"/>
        <item x="195"/>
        <item x="174"/>
        <item x="4"/>
        <item x="125"/>
        <item x="218"/>
        <item x="267"/>
        <item x="77"/>
        <item x="51"/>
        <item x="151"/>
        <item x="242"/>
        <item x="126"/>
        <item x="103"/>
        <item x="243"/>
        <item x="29"/>
        <item x="196"/>
        <item x="175"/>
        <item x="78"/>
        <item x="268"/>
        <item x="52"/>
        <item x="152"/>
        <item x="10"/>
        <item x="79"/>
        <item x="104"/>
        <item x="30"/>
        <item x="176"/>
        <item x="219"/>
        <item x="244"/>
        <item x="269"/>
        <item x="127"/>
        <item x="8"/>
        <item x="153"/>
        <item x="197"/>
        <item x="53"/>
        <item x="31"/>
        <item x="270"/>
        <item x="245"/>
        <item x="105"/>
        <item x="177"/>
        <item x="220"/>
        <item x="80"/>
        <item x="128"/>
        <item x="154"/>
        <item x="54"/>
        <item x="198"/>
        <item x="246"/>
        <item x="55"/>
        <item x="106"/>
        <item x="178"/>
        <item x="81"/>
        <item x="155"/>
        <item x="221"/>
        <item x="199"/>
        <item x="129"/>
        <item x="247"/>
        <item x="56"/>
        <item x="222"/>
        <item x="156"/>
        <item x="130"/>
        <item x="179"/>
        <item x="200"/>
        <item x="82"/>
        <item x="107"/>
        <item x="32"/>
        <item x="157"/>
        <item x="131"/>
        <item x="201"/>
        <item x="83"/>
        <item x="180"/>
        <item x="223"/>
        <item x="248"/>
        <item x="57"/>
        <item x="108"/>
        <item x="202"/>
        <item x="132"/>
        <item x="224"/>
        <item x="109"/>
        <item x="271"/>
        <item x="181"/>
        <item x="84"/>
        <item x="249"/>
        <item x="58"/>
        <item x="110"/>
        <item x="59"/>
        <item x="182"/>
        <item x="225"/>
        <item x="85"/>
        <item x="272"/>
        <item x="158"/>
        <item x="33"/>
        <item x="203"/>
        <item x="250"/>
        <item x="133"/>
        <item x="204"/>
        <item x="60"/>
        <item x="183"/>
        <item x="159"/>
        <item x="273"/>
        <item x="226"/>
        <item x="134"/>
        <item x="86"/>
        <item x="34"/>
        <item x="251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F67CBA9-1BAE-495E-8AEF-55F3AC81E2BC}" sourceName="Subscription Type">
  <pivotTables>
    <pivotTable tabId="3" name="Tbl_annual_Total"/>
    <pivotTable tabId="3" name="Tabela dinâmica4"/>
    <pivotTable tabId="3" name="Tabela dinâmica5"/>
  </pivotTables>
  <data>
    <tabular pivotCacheId="55168594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66BD4750-5AA4-4375-BB15-972E75D95076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70" zoomScaleNormal="7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>
      <c r="J4" t="s">
        <v>311</v>
      </c>
    </row>
    <row r="5" spans="2:16" x14ac:dyDescent="0.3">
      <c r="B5" s="3" t="s">
        <v>2</v>
      </c>
      <c r="C5" t="s">
        <v>7</v>
      </c>
      <c r="E5" s="7" t="s">
        <v>320</v>
      </c>
      <c r="F5" t="s">
        <v>6</v>
      </c>
    </row>
    <row r="6" spans="2:16" x14ac:dyDescent="0.3">
      <c r="B6" s="4" t="s">
        <v>3</v>
      </c>
      <c r="C6" t="s">
        <v>7</v>
      </c>
    </row>
    <row r="7" spans="2:16" x14ac:dyDescent="0.3">
      <c r="B7" s="5" t="s">
        <v>4</v>
      </c>
      <c r="C7" t="s">
        <v>8</v>
      </c>
    </row>
    <row r="8" spans="2:16" x14ac:dyDescent="0.3">
      <c r="B8" s="6" t="s">
        <v>5</v>
      </c>
      <c r="C8" t="s">
        <v>8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55" zoomScaleNormal="55" workbookViewId="0">
      <selection activeCell="C27" sqref="C2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310</v>
      </c>
      <c r="G1" s="9" t="s">
        <v>15</v>
      </c>
      <c r="H1" s="9" t="s">
        <v>307</v>
      </c>
      <c r="I1" s="9" t="s">
        <v>308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3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309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309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309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309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309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309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309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309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309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309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309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309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309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309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309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309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309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309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309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309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309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309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309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309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309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309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309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309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309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309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309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309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309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309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309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309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309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309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309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309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309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309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309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309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309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309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309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309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309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309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309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309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309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309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309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309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309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309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309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309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309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309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309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309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309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309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309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309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309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309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309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309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309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309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309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309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309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309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309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309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309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309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309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309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78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309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153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154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309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155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309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156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157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309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158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309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159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160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309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161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309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162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163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309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164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309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165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166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309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167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309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168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169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309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170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309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171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172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309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173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309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174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175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309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176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309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177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178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309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179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309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180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181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309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182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309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183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184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309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185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309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186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309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187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309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188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189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309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190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309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191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309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192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309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193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194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309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195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309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196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197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309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198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309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199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309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200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201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309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202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309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203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204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309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205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309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206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207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309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208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309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209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210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309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211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309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212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213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309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309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214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215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309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309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216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194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309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217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309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218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219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309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220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309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221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222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309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223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309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224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225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309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226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309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227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228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309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229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309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230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231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309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232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309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233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234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309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309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235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236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309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237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309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238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239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309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240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309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218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309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241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309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242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243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309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244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309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245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246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309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154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309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247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248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309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249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309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250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251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309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252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309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253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254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309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255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309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256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257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309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258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309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167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259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309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260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309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261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262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309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263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309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264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265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309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266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309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267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268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309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269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309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270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271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309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272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273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309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274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309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275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276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309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277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309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278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279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309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280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309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281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282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309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283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309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284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285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309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286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309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287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309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288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309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289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290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309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291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309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292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293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309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294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309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295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296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309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297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309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298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157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309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158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309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208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299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309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300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309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301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302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309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303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309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304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305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309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306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309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N31"/>
  <sheetViews>
    <sheetView showGridLines="0" zoomScale="85" zoomScaleNormal="85" workbookViewId="0">
      <selection activeCell="E30" sqref="E30"/>
    </sheetView>
  </sheetViews>
  <sheetFormatPr defaultRowHeight="14.4" x14ac:dyDescent="0.3"/>
  <cols>
    <col min="1" max="1" width="10" bestFit="1" customWidth="1"/>
    <col min="2" max="2" width="15.88671875" bestFit="1" customWidth="1"/>
    <col min="3" max="3" width="33.5546875" bestFit="1" customWidth="1"/>
    <col min="4" max="4" width="29.21875" bestFit="1" customWidth="1"/>
    <col min="5" max="5" width="84.664062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14" x14ac:dyDescent="0.3">
      <c r="B4" s="12" t="s">
        <v>314</v>
      </c>
      <c r="C4" t="s">
        <v>313</v>
      </c>
      <c r="D4" s="23" t="s">
        <v>326</v>
      </c>
      <c r="E4" s="16" t="s">
        <v>315</v>
      </c>
      <c r="J4" s="17">
        <v>1754</v>
      </c>
    </row>
    <row r="5" spans="2:14" x14ac:dyDescent="0.3">
      <c r="B5" s="13" t="s">
        <v>22</v>
      </c>
      <c r="C5" s="14">
        <v>217</v>
      </c>
      <c r="D5" s="23" t="s">
        <v>325</v>
      </c>
      <c r="E5" s="16" t="s">
        <v>318</v>
      </c>
      <c r="N5" s="16" t="s">
        <v>319</v>
      </c>
    </row>
    <row r="6" spans="2:14" x14ac:dyDescent="0.3">
      <c r="B6" s="13" t="s">
        <v>18</v>
      </c>
      <c r="C6" s="14">
        <v>1537</v>
      </c>
      <c r="D6" s="23"/>
    </row>
    <row r="7" spans="2:14" x14ac:dyDescent="0.3">
      <c r="B7" s="13" t="s">
        <v>312</v>
      </c>
      <c r="C7" s="14">
        <v>1754</v>
      </c>
      <c r="D7" s="23"/>
    </row>
    <row r="8" spans="2:14" x14ac:dyDescent="0.3">
      <c r="D8" s="23"/>
    </row>
    <row r="9" spans="2:14" x14ac:dyDescent="0.3">
      <c r="D9" s="23"/>
    </row>
    <row r="10" spans="2:14" x14ac:dyDescent="0.3">
      <c r="D10" s="23"/>
    </row>
    <row r="11" spans="2:14" x14ac:dyDescent="0.3">
      <c r="D11" s="23"/>
    </row>
    <row r="12" spans="2:14" x14ac:dyDescent="0.3">
      <c r="D12" s="23"/>
    </row>
    <row r="13" spans="2:14" x14ac:dyDescent="0.3">
      <c r="B13" s="12" t="s">
        <v>15</v>
      </c>
      <c r="C13" t="s">
        <v>23</v>
      </c>
      <c r="D13" s="23"/>
    </row>
    <row r="14" spans="2:14" x14ac:dyDescent="0.3">
      <c r="D14" s="23"/>
    </row>
    <row r="15" spans="2:14" x14ac:dyDescent="0.3">
      <c r="B15" s="12" t="s">
        <v>314</v>
      </c>
      <c r="C15" t="s">
        <v>322</v>
      </c>
      <c r="D15" s="23"/>
    </row>
    <row r="16" spans="2:14" x14ac:dyDescent="0.3">
      <c r="B16" s="13" t="s">
        <v>22</v>
      </c>
      <c r="C16" s="24">
        <v>0</v>
      </c>
      <c r="D16" s="23" t="s">
        <v>324</v>
      </c>
      <c r="E16" t="s">
        <v>328</v>
      </c>
    </row>
    <row r="17" spans="2:5" x14ac:dyDescent="0.3">
      <c r="B17" s="15" t="s">
        <v>21</v>
      </c>
      <c r="C17" s="24">
        <v>0</v>
      </c>
      <c r="D17" s="23"/>
    </row>
    <row r="18" spans="2:5" x14ac:dyDescent="0.3">
      <c r="B18" s="15" t="s">
        <v>25</v>
      </c>
      <c r="C18" s="24">
        <v>0</v>
      </c>
      <c r="D18" s="23"/>
    </row>
    <row r="19" spans="2:5" x14ac:dyDescent="0.3">
      <c r="B19" s="13" t="s">
        <v>18</v>
      </c>
      <c r="C19" s="24">
        <v>600</v>
      </c>
      <c r="D19" s="23"/>
    </row>
    <row r="20" spans="2:5" x14ac:dyDescent="0.3">
      <c r="B20" s="15" t="s">
        <v>17</v>
      </c>
      <c r="C20" s="24">
        <v>600</v>
      </c>
      <c r="D20" s="23"/>
      <c r="E20" s="22">
        <f>GETPIVOTDATA("EA Play Season Pass
Price",$B$15)</f>
        <v>600</v>
      </c>
    </row>
    <row r="21" spans="2:5" x14ac:dyDescent="0.3">
      <c r="B21" s="13" t="s">
        <v>312</v>
      </c>
      <c r="C21" s="24">
        <v>600</v>
      </c>
      <c r="D21" s="23"/>
    </row>
    <row r="22" spans="2:5" x14ac:dyDescent="0.3">
      <c r="D22" s="23"/>
    </row>
    <row r="23" spans="2:5" x14ac:dyDescent="0.3">
      <c r="D23" s="23"/>
    </row>
    <row r="24" spans="2:5" x14ac:dyDescent="0.3">
      <c r="D24" s="23"/>
    </row>
    <row r="25" spans="2:5" x14ac:dyDescent="0.3">
      <c r="B25" s="12" t="s">
        <v>15</v>
      </c>
      <c r="C25" t="s">
        <v>23</v>
      </c>
      <c r="D25" s="23"/>
    </row>
    <row r="26" spans="2:5" x14ac:dyDescent="0.3">
      <c r="D26" s="23"/>
    </row>
    <row r="27" spans="2:5" x14ac:dyDescent="0.3">
      <c r="B27" s="12" t="s">
        <v>314</v>
      </c>
      <c r="C27" t="s">
        <v>329</v>
      </c>
      <c r="D27" s="23" t="s">
        <v>323</v>
      </c>
      <c r="E27" t="s">
        <v>327</v>
      </c>
    </row>
    <row r="28" spans="2:5" x14ac:dyDescent="0.3">
      <c r="B28" s="13" t="s">
        <v>21</v>
      </c>
      <c r="C28" s="24">
        <v>0</v>
      </c>
      <c r="D28" s="23"/>
    </row>
    <row r="29" spans="2:5" x14ac:dyDescent="0.3">
      <c r="B29" s="13" t="s">
        <v>25</v>
      </c>
      <c r="C29" s="24">
        <v>540</v>
      </c>
      <c r="D29" s="23"/>
    </row>
    <row r="30" spans="2:5" x14ac:dyDescent="0.3">
      <c r="B30" s="13" t="s">
        <v>17</v>
      </c>
      <c r="C30" s="24">
        <v>400</v>
      </c>
      <c r="D30" s="23"/>
      <c r="E30" s="22">
        <f>GETPIVOTDATA("Minecraft Season Pass Price",$B$27)</f>
        <v>940</v>
      </c>
    </row>
    <row r="31" spans="2:5" x14ac:dyDescent="0.3">
      <c r="B31" s="13" t="s">
        <v>312</v>
      </c>
      <c r="C31" s="24">
        <v>940</v>
      </c>
      <c r="D31" s="23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C8B6-1DDB-4715-9156-5DC78FD66B46}">
  <dimension ref="B2:L3"/>
  <sheetViews>
    <sheetView showGridLines="0" workbookViewId="0">
      <selection activeCell="B2" sqref="B2:L3"/>
    </sheetView>
  </sheetViews>
  <sheetFormatPr defaultRowHeight="14.4" x14ac:dyDescent="0.3"/>
  <cols>
    <col min="8" max="8" width="11.88671875" bestFit="1" customWidth="1"/>
  </cols>
  <sheetData>
    <row r="2" spans="2:12" x14ac:dyDescent="0.3">
      <c r="B2" t="s">
        <v>316</v>
      </c>
      <c r="C2" s="16" t="s">
        <v>315</v>
      </c>
      <c r="H2" s="17">
        <v>1754</v>
      </c>
    </row>
    <row r="3" spans="2:12" x14ac:dyDescent="0.3">
      <c r="B3" t="s">
        <v>317</v>
      </c>
      <c r="C3" s="16" t="s">
        <v>318</v>
      </c>
      <c r="L3" s="16" t="s">
        <v>319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K121"/>
  <sheetViews>
    <sheetView showGridLines="0" tabSelected="1" zoomScale="40" zoomScaleNormal="40" workbookViewId="0">
      <selection activeCell="E38" sqref="E38"/>
    </sheetView>
  </sheetViews>
  <sheetFormatPr defaultRowHeight="14.4" x14ac:dyDescent="0.3"/>
  <cols>
    <col min="1" max="1" width="30.109375" style="4" customWidth="1"/>
    <col min="2" max="2" width="30.109375" style="7" customWidth="1"/>
    <col min="3" max="3" width="3.5546875" customWidth="1"/>
    <col min="4" max="4" width="61.5546875" bestFit="1" customWidth="1"/>
    <col min="13" max="13" width="6.5546875" customWidth="1"/>
  </cols>
  <sheetData>
    <row r="1" spans="2:63" x14ac:dyDescent="0.3">
      <c r="B1" s="25"/>
    </row>
    <row r="2" spans="2:63" ht="25.2" thickBot="1" x14ac:dyDescent="0.6">
      <c r="B2" s="25"/>
      <c r="D2" s="18" t="s">
        <v>321</v>
      </c>
      <c r="E2" s="19"/>
      <c r="F2" s="19"/>
      <c r="G2" s="19"/>
      <c r="H2" s="19"/>
      <c r="I2" s="19"/>
      <c r="J2" s="19"/>
    </row>
    <row r="3" spans="2:63" ht="8.25" customHeight="1" x14ac:dyDescent="0.3">
      <c r="B3" s="25"/>
    </row>
    <row r="4" spans="2:63" x14ac:dyDescent="0.3">
      <c r="B4" s="25"/>
    </row>
    <row r="5" spans="2:63" ht="10.5" customHeight="1" x14ac:dyDescent="0.3">
      <c r="B5" s="25"/>
    </row>
    <row r="6" spans="2:63" x14ac:dyDescent="0.3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2:63" x14ac:dyDescent="0.3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2:63" x14ac:dyDescent="0.3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</row>
    <row r="9" spans="2:63" x14ac:dyDescent="0.3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0" spans="2:63" x14ac:dyDescent="0.3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 spans="2:63" x14ac:dyDescent="0.3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 spans="2:63" x14ac:dyDescent="0.3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 spans="2:63" x14ac:dyDescent="0.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 spans="2:63" x14ac:dyDescent="0.3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 spans="2:63" x14ac:dyDescent="0.3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spans="2:63" x14ac:dyDescent="0.3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 spans="3:63" x14ac:dyDescent="0.3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 spans="3:63" x14ac:dyDescent="0.3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 spans="3:63" x14ac:dyDescent="0.3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 spans="3:63" x14ac:dyDescent="0.3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 spans="3:63" x14ac:dyDescent="0.3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spans="3:63" x14ac:dyDescent="0.3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spans="3:63" x14ac:dyDescent="0.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 spans="3:63" x14ac:dyDescent="0.3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 spans="3:63" ht="16.8" x14ac:dyDescent="0.4">
      <c r="C25" s="7"/>
      <c r="D25" s="7"/>
      <c r="E25" s="7"/>
      <c r="F25" s="7"/>
      <c r="G25" s="7"/>
      <c r="H25" s="20"/>
      <c r="I25" s="7"/>
      <c r="J25" s="7"/>
      <c r="K25" s="7"/>
      <c r="L25" s="7"/>
      <c r="M25" s="7"/>
      <c r="N25" s="7"/>
      <c r="O25" s="2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 spans="3:63" x14ac:dyDescent="0.3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spans="3:63" x14ac:dyDescent="0.3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spans="3:63" x14ac:dyDescent="0.3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</row>
    <row r="29" spans="3:63" x14ac:dyDescent="0.3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</row>
    <row r="30" spans="3:63" x14ac:dyDescent="0.3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1" spans="3:63" x14ac:dyDescent="0.3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</row>
    <row r="32" spans="3:63" x14ac:dyDescent="0.3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 spans="3:63" x14ac:dyDescent="0.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</row>
    <row r="34" spans="3:63" x14ac:dyDescent="0.3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</row>
    <row r="35" spans="3:63" x14ac:dyDescent="0.3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</row>
    <row r="36" spans="3:63" x14ac:dyDescent="0.3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</row>
    <row r="37" spans="3:63" x14ac:dyDescent="0.3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</row>
    <row r="38" spans="3:63" x14ac:dyDescent="0.3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</row>
    <row r="39" spans="3:63" x14ac:dyDescent="0.3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</row>
    <row r="40" spans="3:63" x14ac:dyDescent="0.3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</row>
    <row r="41" spans="3:63" x14ac:dyDescent="0.3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</row>
    <row r="42" spans="3:63" x14ac:dyDescent="0.3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</row>
    <row r="43" spans="3:63" x14ac:dyDescent="0.3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</row>
    <row r="44" spans="3:63" x14ac:dyDescent="0.3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</row>
    <row r="45" spans="3:63" x14ac:dyDescent="0.3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</row>
    <row r="46" spans="3:63" x14ac:dyDescent="0.3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</row>
    <row r="47" spans="3:63" x14ac:dyDescent="0.3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</row>
    <row r="48" spans="3:63" x14ac:dyDescent="0.3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</row>
    <row r="49" spans="3:63" x14ac:dyDescent="0.3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</row>
    <row r="50" spans="3:63" x14ac:dyDescent="0.3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</row>
    <row r="51" spans="3:63" x14ac:dyDescent="0.3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</row>
    <row r="52" spans="3:63" x14ac:dyDescent="0.3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</row>
    <row r="53" spans="3:63" x14ac:dyDescent="0.3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</row>
    <row r="54" spans="3:63" x14ac:dyDescent="0.3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</row>
    <row r="55" spans="3:63" x14ac:dyDescent="0.3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</row>
    <row r="56" spans="3:63" x14ac:dyDescent="0.3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</row>
    <row r="57" spans="3:63" x14ac:dyDescent="0.3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</row>
    <row r="58" spans="3:63" x14ac:dyDescent="0.3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</row>
    <row r="59" spans="3:63" x14ac:dyDescent="0.3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</row>
    <row r="60" spans="3:63" x14ac:dyDescent="0.3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</row>
    <row r="61" spans="3:63" x14ac:dyDescent="0.3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</row>
    <row r="62" spans="3:63" x14ac:dyDescent="0.3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</row>
    <row r="63" spans="3:63" x14ac:dyDescent="0.3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</row>
    <row r="64" spans="3:63" x14ac:dyDescent="0.3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</row>
    <row r="65" spans="3:63" x14ac:dyDescent="0.3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</row>
    <row r="66" spans="3:63" x14ac:dyDescent="0.3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</row>
    <row r="67" spans="3:63" x14ac:dyDescent="0.3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</row>
    <row r="68" spans="3:63" x14ac:dyDescent="0.3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</row>
    <row r="69" spans="3:63" x14ac:dyDescent="0.3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</row>
    <row r="70" spans="3:63" x14ac:dyDescent="0.3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</row>
    <row r="71" spans="3:63" x14ac:dyDescent="0.3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</row>
    <row r="72" spans="3:63" x14ac:dyDescent="0.3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</row>
    <row r="73" spans="3:63" x14ac:dyDescent="0.3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</row>
    <row r="74" spans="3:63" x14ac:dyDescent="0.3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</row>
    <row r="75" spans="3:63" x14ac:dyDescent="0.3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</row>
    <row r="76" spans="3:63" x14ac:dyDescent="0.3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</row>
    <row r="77" spans="3:63" x14ac:dyDescent="0.3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</row>
    <row r="78" spans="3:63" x14ac:dyDescent="0.3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</row>
    <row r="79" spans="3:63" x14ac:dyDescent="0.3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</row>
    <row r="80" spans="3:63" x14ac:dyDescent="0.3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</row>
    <row r="81" spans="3:63" x14ac:dyDescent="0.3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</row>
    <row r="82" spans="3:63" x14ac:dyDescent="0.3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</row>
    <row r="83" spans="3:63" x14ac:dyDescent="0.3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</row>
    <row r="84" spans="3:63" x14ac:dyDescent="0.3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</row>
    <row r="85" spans="3:63" x14ac:dyDescent="0.3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</row>
    <row r="86" spans="3:63" x14ac:dyDescent="0.3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</row>
    <row r="87" spans="3:63" x14ac:dyDescent="0.3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</row>
    <row r="88" spans="3:63" x14ac:dyDescent="0.3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</row>
    <row r="89" spans="3:63" x14ac:dyDescent="0.3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</row>
    <row r="90" spans="3:63" x14ac:dyDescent="0.3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</row>
    <row r="91" spans="3:63" x14ac:dyDescent="0.3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</row>
    <row r="92" spans="3:63" x14ac:dyDescent="0.3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</row>
    <row r="93" spans="3:63" x14ac:dyDescent="0.3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</row>
    <row r="94" spans="3:63" x14ac:dyDescent="0.3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</row>
    <row r="95" spans="3:63" x14ac:dyDescent="0.3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</row>
    <row r="96" spans="3:63" x14ac:dyDescent="0.3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</row>
    <row r="97" spans="3:63" x14ac:dyDescent="0.3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</row>
    <row r="98" spans="3:63" x14ac:dyDescent="0.3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</row>
    <row r="99" spans="3:63" x14ac:dyDescent="0.3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</row>
    <row r="100" spans="3:63" x14ac:dyDescent="0.3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</row>
    <row r="101" spans="3:63" x14ac:dyDescent="0.3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</row>
    <row r="102" spans="3:63" x14ac:dyDescent="0.3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</row>
    <row r="103" spans="3:63" x14ac:dyDescent="0.3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</row>
    <row r="104" spans="3:63" x14ac:dyDescent="0.3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</row>
    <row r="105" spans="3:63" x14ac:dyDescent="0.3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</row>
    <row r="106" spans="3:63" x14ac:dyDescent="0.3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</row>
    <row r="107" spans="3:63" x14ac:dyDescent="0.3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</row>
    <row r="108" spans="3:63" x14ac:dyDescent="0.3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</row>
    <row r="109" spans="3:63" x14ac:dyDescent="0.3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</row>
    <row r="110" spans="3:63" x14ac:dyDescent="0.3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</row>
    <row r="111" spans="3:63" x14ac:dyDescent="0.3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</row>
    <row r="112" spans="3:63" x14ac:dyDescent="0.3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</row>
    <row r="113" spans="3:63" x14ac:dyDescent="0.3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</row>
    <row r="114" spans="3:63" x14ac:dyDescent="0.3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</row>
    <row r="115" spans="3:63" x14ac:dyDescent="0.3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</row>
    <row r="116" spans="3:63" x14ac:dyDescent="0.3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</row>
    <row r="117" spans="3:63" x14ac:dyDescent="0.3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</row>
    <row r="118" spans="3:63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</row>
    <row r="119" spans="3:63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</row>
    <row r="120" spans="3:63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</row>
    <row r="121" spans="3:63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Perguntas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Eduardo Souza</cp:lastModifiedBy>
  <dcterms:created xsi:type="dcterms:W3CDTF">2024-12-19T13:13:10Z</dcterms:created>
  <dcterms:modified xsi:type="dcterms:W3CDTF">2026-10-16T02:04:10Z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